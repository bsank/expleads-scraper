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defaultThemeVersion="202300"/>
  <mc:AlternateContent xmlns:mc="http://schemas.openxmlformats.org/markup-compatibility/2006">
    <mc:Choice Requires="x15">
      <x15ac:absPath xmlns:x15ac="http://schemas.microsoft.com/office/spreadsheetml/2010/11/ac" url="/Users/bharaths/Projects/expleads/"/>
    </mc:Choice>
  </mc:AlternateContent>
  <xr:revisionPtr revIDLastSave="0" documentId="8_{9F599675-BA67-4944-A52D-F53D8434D4D5}" xr6:coauthVersionLast="47" xr6:coauthVersionMax="47" xr10:uidLastSave="{00000000-0000-0000-0000-000000000000}"/>
  <bookViews>
    <workbookView xWindow="680" yWindow="660" windowWidth="28040" windowHeight="16760" xr2:uid="{38A7E058-F0E7-1747-AA40-EDD23B569E72}"/>
  </bookViews>
  <sheets>
    <sheet name="wa_leads_full_pool_old"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1" l="1"/>
  <c r="B3" i="1"/>
  <c r="B4" i="1"/>
  <c r="B6" i="1"/>
  <c r="B7" i="1"/>
  <c r="B8" i="1"/>
  <c r="B9" i="1"/>
  <c r="B10" i="1"/>
  <c r="B11" i="1"/>
  <c r="B12" i="1"/>
  <c r="B13" i="1"/>
  <c r="B14" i="1"/>
  <c r="B15" i="1"/>
  <c r="B17" i="1"/>
  <c r="B18" i="1"/>
  <c r="B19" i="1"/>
  <c r="B20" i="1"/>
  <c r="B21" i="1"/>
  <c r="B22" i="1"/>
  <c r="B23" i="1"/>
  <c r="B24" i="1"/>
  <c r="B25" i="1"/>
  <c r="B26" i="1"/>
  <c r="B27" i="1"/>
  <c r="B28" i="1"/>
  <c r="B29" i="1"/>
  <c r="B30" i="1"/>
  <c r="B32" i="1"/>
  <c r="B33" i="1"/>
  <c r="B34" i="1"/>
  <c r="B35" i="1"/>
  <c r="B36" i="1"/>
  <c r="B37" i="1"/>
  <c r="B38" i="1"/>
  <c r="B39" i="1"/>
  <c r="B40" i="1"/>
  <c r="B41" i="1"/>
  <c r="B42" i="1"/>
  <c r="B43" i="1"/>
  <c r="B44" i="1"/>
  <c r="B45" i="1"/>
  <c r="B46" i="1"/>
  <c r="B47" i="1"/>
  <c r="B48" i="1"/>
  <c r="B50" i="1"/>
  <c r="B51" i="1"/>
  <c r="B52" i="1"/>
  <c r="B53" i="1"/>
  <c r="B54" i="1"/>
  <c r="B55" i="1"/>
  <c r="B56" i="1"/>
  <c r="B57" i="1"/>
  <c r="B58" i="1"/>
  <c r="B59" i="1"/>
  <c r="B60" i="1"/>
  <c r="B61" i="1"/>
  <c r="B62" i="1"/>
  <c r="B63" i="1"/>
  <c r="B64" i="1"/>
  <c r="B65" i="1"/>
  <c r="B66" i="1"/>
  <c r="B68" i="1"/>
  <c r="B69" i="1"/>
  <c r="B70" i="1"/>
  <c r="B71" i="1"/>
  <c r="B72" i="1"/>
  <c r="B73" i="1"/>
  <c r="B74" i="1"/>
  <c r="B75" i="1"/>
  <c r="B78" i="1"/>
  <c r="B79" i="1"/>
  <c r="B80" i="1"/>
  <c r="B81" i="1"/>
  <c r="B82" i="1"/>
  <c r="B83" i="1"/>
  <c r="B84" i="1"/>
  <c r="B85" i="1"/>
  <c r="B86"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8" i="1"/>
  <c r="B129" i="1"/>
  <c r="B131" i="1"/>
  <c r="B132" i="1"/>
  <c r="B133" i="1"/>
  <c r="B134" i="1"/>
  <c r="B135" i="1"/>
  <c r="B136" i="1"/>
  <c r="B137" i="1"/>
  <c r="B139" i="1"/>
  <c r="B141" i="1"/>
  <c r="B144" i="1"/>
  <c r="B146" i="1"/>
  <c r="B148" i="1"/>
  <c r="B150" i="1"/>
  <c r="B151" i="1"/>
  <c r="B153" i="1"/>
  <c r="B162" i="1"/>
  <c r="B163" i="1"/>
  <c r="B164" i="1"/>
  <c r="B165" i="1"/>
  <c r="B166" i="1"/>
  <c r="B167" i="1"/>
  <c r="B168" i="1"/>
  <c r="B170" i="1"/>
  <c r="B171" i="1"/>
  <c r="B173" i="1"/>
  <c r="B174" i="1"/>
  <c r="B175" i="1"/>
  <c r="B176" i="1"/>
  <c r="B177" i="1"/>
  <c r="B178" i="1"/>
  <c r="B179" i="1"/>
  <c r="B180" i="1"/>
  <c r="B181" i="1"/>
  <c r="B182" i="1"/>
  <c r="B183" i="1"/>
  <c r="B184" i="1"/>
  <c r="B185" i="1"/>
  <c r="B186" i="1"/>
  <c r="B216" i="1"/>
  <c r="B217" i="1"/>
  <c r="B218" i="1"/>
  <c r="B219" i="1"/>
  <c r="B221" i="1"/>
  <c r="B223" i="1"/>
  <c r="B224" i="1"/>
  <c r="B225" i="1"/>
  <c r="B226" i="1"/>
  <c r="B228" i="1"/>
  <c r="B229" i="1"/>
  <c r="B230" i="1"/>
  <c r="B231" i="1"/>
  <c r="B232" i="1"/>
  <c r="B233" i="1"/>
  <c r="B234" i="1"/>
  <c r="B235" i="1"/>
  <c r="B236" i="1"/>
  <c r="B237" i="1"/>
  <c r="B238" i="1"/>
  <c r="B239" i="1"/>
  <c r="B240" i="1"/>
</calcChain>
</file>

<file path=xl/sharedStrings.xml><?xml version="1.0" encoding="utf-8"?>
<sst xmlns="http://schemas.openxmlformats.org/spreadsheetml/2006/main" count="2320" uniqueCount="878">
  <si>
    <t>Name</t>
  </si>
  <si>
    <t>Phone</t>
  </si>
  <si>
    <t>Email</t>
  </si>
  <si>
    <t>Address</t>
  </si>
  <si>
    <t>City</t>
  </si>
  <si>
    <t>State</t>
  </si>
  <si>
    <t>Zip</t>
  </si>
  <si>
    <t>Date Added</t>
  </si>
  <si>
    <t>Lead Source</t>
  </si>
  <si>
    <t>Folder</t>
  </si>
  <si>
    <t>Remarks</t>
  </si>
  <si>
    <t>Bedrooms</t>
  </si>
  <si>
    <t>Bathrooms</t>
  </si>
  <si>
    <t>SqFt</t>
  </si>
  <si>
    <t>Year Built</t>
  </si>
  <si>
    <t>Parcel/Tax ID</t>
  </si>
  <si>
    <t>Contact ID</t>
  </si>
  <si>
    <t>Internal ID</t>
  </si>
  <si>
    <t>Alfredo Lopez</t>
  </si>
  <si>
    <t>ALFREDOLOPEZ026@HOTMAIL.COM</t>
  </si>
  <si>
    <t>1511 211th St E</t>
  </si>
  <si>
    <t>Spanaway</t>
  </si>
  <si>
    <t>WA</t>
  </si>
  <si>
    <t>FSBO</t>
  </si>
  <si>
    <t>This well-maintained mobile home is located in the desirable Spanaway area and is ideal for a young family. The home features two standard-size bedrooms along with two smaller additional rooms that can be used as bedrooms, offices, or storage spaces, plus one full bathroom. Situated in a welcoming community, this property offers a great environment for children to grow up in. The school bus stop is conveniently located directly in front of the home√É¬¢√¢‚Äö¬¨√¢‚Ç¨?perfect for rainy or cold mornings. The backyard is fully fenced for privacy and includes a dog door, making it a great option for pet owners. Prospective buyers are welcome to schedule a tour and see all that this home has to offer.</t>
  </si>
  <si>
    <t>N/A</t>
  </si>
  <si>
    <t>Christian Wong</t>
  </si>
  <si>
    <t>8601 23rd Avenue Northeast #8601</t>
  </si>
  <si>
    <t>Seattle</t>
  </si>
  <si>
    <t>FRBO</t>
  </si>
  <si>
    <t>FRBO (Investors)</t>
  </si>
  <si>
    <t>Country living in the city! This is a clean 2 bedroom 1 bath unit in a quiet and convenient Ravenna neighborhood. Walking distance to bus lines, parks, and grocery stores. And there is easy access to I-5, Shopping and UW. Shared large yard, and planting beds for your flowers and vegetables. This is a nice unit with a yard perfect for children and/or pets. It has hardwood floors in the living room and the 2 bedrooms. The living room is bright and has a wood burning fireplace perfect for warming those cold Seattle nights. It features a large kitchen with plenty of cabinets for storage. The unit also has a side by side full size washer and dryer. The master bedroom is a good size capable of fitting a queen size bed quite easily. The smaller room can also fit a queen, and is a perfect second bedroom. Each room in the unit has separate thermostats to help keep the heat bill low. This unit is available 2/08/2026. 1 Year Minimum Lease, Security Deposit $1625, Pet Deposit $300 per pet (fully refundable) Please meet 3 requirements for rental: 1. 650+ credit score 2. 3X rent income 3. Good rental history no evictions Or a qualified co-signer is acceptable as well.</t>
  </si>
  <si>
    <t>Charles Craig</t>
  </si>
  <si>
    <t>cwcraig30@msn.com</t>
  </si>
  <si>
    <t>28113 16th Ave E</t>
  </si>
  <si>
    <t>Roy</t>
  </si>
  <si>
    <t>Country Comfort on a Full Acre in Roy Escape to the quiet of Roy with this well-kept 3-bedroom, 2-bath home on a full acre of space. Built in 1995 and offering 1,854 sq ft, this home blends practical living with true country charm. Stay cozy by the wood stove or enjoy year-round comfort with a heat pump. A detached garage with hobby rooms and an insulated, heated attached room offers endless possibilities for projects, storage, or creative space. Room to roam, breathe, and live the rural lifestyle you've been dreaming of.</t>
  </si>
  <si>
    <t>Payne Oliver</t>
  </si>
  <si>
    <t>6013 S Pine St</t>
  </si>
  <si>
    <t>Tacoma</t>
  </si>
  <si>
    <t>Charming 2 bed, 1 bath single family home with effortless access to I-5! Enjoy peace of mind with a brand-new roof and year-round comfort from the energy-efficient ductless mini-split system. A true highlight is the huge garage/shop featuring 8-foot automatic roll-up door perfect for projects, storage, or business use. RV-ready with both 30-amp and 50-amp hookups. This property blends convenience, flexibility, and inspiration</t>
  </si>
  <si>
    <t>Kenneth Michael</t>
  </si>
  <si>
    <t>4412 31st Ave W</t>
  </si>
  <si>
    <t>Nestled into the quiet, friendly, safe, and welcoming neighborhood of Magnolia, this gorgeous, recently remodeled home boasts an open floor plan, a large yard, and ample storage space. Light, bright, and charming, the main floor features hardwood floors and open concept living with a kitchen that opens to the deck, perfect for entertaining, hosting, and/or family time. This home features a spacious and newly remodeled master suite with luxurious, heated bathroom floors, and three other roomy bedrooms. It also has a high efficiency tank-less gas broiler and hot water tank. This space also features new windows, new doors, updated can lights, and new electrical and copper piping throughout the home. This home also has a large detached shed with ample storage space. You will be in a convenient location with beautiful neighborhood walks, and be minutes from schools, parks, Magnolia village, downtown, shopping, entertainment, lounging, and more! Renters responsible for utilities. Deposit is one month's rent. Pets permitted with prior approval and pet deposit. Tennant pay for water, utilities, electricity, garbage</t>
  </si>
  <si>
    <t>Hari Pulapaka</t>
  </si>
  <si>
    <t>hari04@gmail.com</t>
  </si>
  <si>
    <t>13315 Ne 117th Way</t>
  </si>
  <si>
    <t>Redmond</t>
  </si>
  <si>
    <t>Owner listed - Spacious 3 bed + bonus room, 2 full bath and 2 half bath (total 2760 sqft) with daylight basement house and brand new kitchen, plenty of storage in a quiet and private North Rose Hill neighborhood with large backyard (0.2 acre) for rent. Rent also includes lawn maintenance. Primary suite features a large walk-in closet &amp; a spacious bath w/ walk-in shower. Home features all new appliances, painting, oak hardwood flooring throughout main level with a walkout deck, wood fireplace, second patio and spacious bedrooms upstairs. Daylight basement features new carpeting, bathroom and lots of storage with a walkout to the backyard. Large 2-car garage with tons of storage. Near Mark Twain Elementary in Lake Washington School District. Within minutes to public transit, 405 and 520. Short commute to Microsoft, Google, Facebook, downtown Redmond and Kirkland. Minutes to Costco, Willows Run Golf Club, Totem Lake Whole foods, and more. Equipped with 1G fiber from Ziply for work from home. Terms: Rent: $4000 per month. Yard maintenance included. Move In funds: First Month and One month rent as security deposit. Min Credit Score: 700 Non refundable Cleaning fee: $600 Available: Feb 3, 2026 No pets, No smoking</t>
  </si>
  <si>
    <t>Syed Amman</t>
  </si>
  <si>
    <t>9602 Wharf St</t>
  </si>
  <si>
    <t>Edmonds</t>
  </si>
  <si>
    <t>Luxurious Stay, Beautiful Views Located in Edmonds, minutes from the water and a 20 minute commute to Seattle. 3 spacious bedrooms designed for comfort and privacy Elegant living room with beautiful views and natural light Dedicated recreation and media room featuring a massive 98-inch screen for immersive movie nights or sports viewing Chef's kitchen with commercial-grade stove, ideal for elevated home cooking and entertaining Every space is designed to feel open, calm, and refined. Resort-Level Amenities (Rarely Found in Residential Rentals) Enjoy an unmatched collection of premium amenities: 20,000-gallon heated swimming pool with diving board Private hot tub for year-round relaxation Jetted soaking tub for spa-like bathing Sauna for wellness and recovery Massage chair to unwind at home Seamless indoor-outdoor flow that transforms daily living into a retreat experience This is not simply a rental it is a lifestyle. Everything is included in the rent. All utilities. Month to month</t>
  </si>
  <si>
    <t>Karl Haisch</t>
  </si>
  <si>
    <t>karlh86@gmail.com</t>
  </si>
  <si>
    <t>1218 N 49th St</t>
  </si>
  <si>
    <t>1,447 Sq. Ft. 3 Bed, 2 Bath Main Home | Patio &amp; Fenced Yard | Primary Unit in Classic Duplex Live in the primary residence of this classic Green Lake duplex. Listed as a single-family home because it offers the privacy, scale, and separation of space of a standalone house, this 1,447 sq. ft. unit spans the main floor and a fully finished daylight basement. Kitchen &amp; Bright Living Spaces: The heart of the home features a charming kitchen updated with quartz countertops, stainless steel appliances, and a dishwasher. You'll find tons of cabinet space that blends original character with modern functionality. The living room is flooded with natural light through modernized windows, highlighting the gleaming original hardwood floors and high-end box beam ceilings. Flexible Layout &amp; Renovated Baths - Main Floor: Features two bedrooms and a fully renovated full bathroom with beautiful tile work and a tub/shower combo. - Finished Basement: Downstairs offers a versatile layout with luxury vinyl plank (LVP) flooring, a third bedroom, a bonus living area (perfect for a media room or home office), and a modern bathroom with a tiled walk-in shower. Comfort &amp; Convenience Stay cozy year-round with efficient radiant gas heating. The home includes a full-sized in-unit washer/dryer and a dedicated storage shed in the backyard for your gear. Outdoor Oasis &amp; Parking Step out to your private 85 sq. ft. patio or enjoy the massive 1,700 sq. ft. shared fenced yard perfect for summer relaxation. Parking is stress-free with easy street parking directly in front. Prime Location Directly across from Woodland Park. You are just steps away from Green Lake's loop, the Zoo, and the vibrant shops of Wallingford. Transit: Catch the #44 Bus for a direct connection to the Link Light Rail (U-District Station) or hop on the RapidRide E Line for a quick ride Downtown. Driving: Easy access to Highway 99 (Aurora) provides a straight shot to Downtown Seattle and South Lake Union. Lease Terms Standard Terms Lease Duration: 12-13 Months Rent: $4,150 / month Security Deposit: One month's rent ($4,150). Holding Deposit: $500 (Credited toward Security Deposit upon move-in). Utilities &amp; Expenses Electricity: Not included. Tenant is responsible for electricity (paid directly to utility) Water, Sewer, Garbage &amp; Gas: Monthly flat fee of $85 per occupant. Note: These utilities are shared with the adjacent unit. Costs are reconciled bi-annually based on actual building usage and the number of occupants to ensure fair billing. Renter's Insurance: Required ($300,000 liability minimum). Smoking: Strictly non-smoking property (indoors and outdoors). Application &amp; Screening First-in-Time: Applications are processed in chronological order of receipt of a complete application. Process: To apply, you must (1) Tour the home, (2) Pay the holding deposit, and (3) Submit a complete application. Screening Criteria: Credit score 740+, Income 3x Rent, Positive Rental History. Pet Policy Pets: No Pets</t>
  </si>
  <si>
    <t>Tyler Doyle</t>
  </si>
  <si>
    <t>2420b Northwest 61st Street</t>
  </si>
  <si>
    <t>Light-filled standalone townhome offering a rare mix of privacy, natural light, outdoor space, and everyday convenience in the heart of Ballard. The main living level is bright and open, with large south-facing windows that bring in sun throughout the day. The layout flows naturally from living to dining to kitchen, making the space equally comfortable for quiet evenings or hosting friends. Clean modern finishes and radiant in-floor heating give the home a warm, intentional feel year-round. Two bedrooms are located on the ground level, offering flexible space for guests, a home office, or creative use. The entire top floor is dedicated to the private primary suite, providing separation and a calm retreat away from the rest of the home. Outdoor space truly sets this property apart. The home includes a private patio, a low-maintenance turf yard, and a rooftop deck with sweeping Mount Rainier views ideal for summer evenings, sunsets, and weekend downtime. Dedicated off-street parking includes a Level 2 electric vehicle charger, a rare and highly desirable feature in Ballard. Home features include: - Standalone modern townhome - 3 bedrooms and 2.5 bathrooms - Bright, south-facing living space - Private patio and low-maintenance turf yard - Rooftop deck with Mount Rainier views - Heat pump air conditioning - Radiant in-floor heating - Washer and dryer in unit - Dedicated off-street parking with Level 2 EV charger Lease details: - Rent is $4,200 per month - 12-month lease - Tenant pays all utilities - Renters insurance required - No smoking - Dogs considered on a case-by-case basis This is a thoughtfully designed home in one of Seattle's most livable neighborhoods, ideal for someone who values light, space, and location. 12-month lease, convert to month to month at end. Tenant pays all utilities. Renters insurance is required for the duration of the lease. No smoking. Dogs considered on a case-by-case basis. Dedicated off-street parking included. Tenant is responsible for keeping the home clean and sanitary, promptly reporting maintenance issues, and using all fixtures and appliances properly. Tenant is responsible for routine upkeep of outdoor areas, including keeping the patio and turf yard reasonably clean and free of debris. Owner is responsible for required repairs and maintenance, including tree trimming and landscaping maintenance beyond routine tenant upkeep. Screening criteria include minimum household income of three times the monthly rent, minimum credit score of 720 for each adult applicant, and positive rental history. Reusable tenant screening reports are accepted.</t>
  </si>
  <si>
    <t>Leslie Bautista</t>
  </si>
  <si>
    <t>kaewettnelson81@gmail.com</t>
  </si>
  <si>
    <t>28855 23rd Pl S</t>
  </si>
  <si>
    <t>Federal Way</t>
  </si>
  <si>
    <t>2 Bed / 1 Bath Move-In Ready | Federal Way Rent: $2,200 | Deposit: $1,500 Updated kitchen and refreshed bathroom with laminate flooring and fresh paint throughout. This move-in ready home is conveniently located in Federal Way with easy freeway access, making commuting a breeze. Pets allowed with a $250 non-refundable pet deposit. Clean, bright, and ready for immediate move-in. Renter responsible for utilities. No smoking allowed. Up to small pets permitted.</t>
  </si>
  <si>
    <t>Ashley Angele</t>
  </si>
  <si>
    <t>marzbars@hotmail.com</t>
  </si>
  <si>
    <t>210 S 68th St</t>
  </si>
  <si>
    <t>This inviting Craftsman-style home offers 3 bedrooms, 3 bathrooms, and 2,150 square feet of thoughtfully designed living space, including a completely finished basement that adds exceptional flexibility. Full of natural light and character, the home blends classic charm with modern functionality. The main level features comfortable living areas and a well-laid-out kitchen, while the finished basement provides additional living space ideal for a family room, guest area, home office, or multi-purpose use. With three full bathrooms, the home offers convenience and privacy for a variety of living arrangements. Outside, the property features a welcoming front porch, a spacious deck, and a well-maintained yard. The long driveway provides ample off-street parking and may accommodate multiple vehicles or trailer parking. This home offers the warmth and style of a classic Craftsman with updated systems and flexible living space, all in a desirable Tacoma neighborhood. Open house details available on the listing. 12-month lease required. Rent is due monthly; late fees apply per Washington State law. One month's rent is required as a refundable security deposit, along with a non-refundable cleaning fee due at move-in. Approved pets are allowed with an additional refundable pet deposit and monthly pet rent; service animals and emotional support animals are accommodated per law. No smoking or vaping is permitted inside the premises. Tenant is responsible for routine upkeep, including yard care and light maintenance; landlord is responsible for major systems and repairs. Off-street parking is available in the long driveway. Tenant is responsible for all utilities. Applicants will be screened for income, credit history, rental history, and eviction history. Applications may be denied for failure to meet minimum income requirements, insufficient or unverifiable income, unsatisfactory credit history, negative rental history, prior evictions, or material misrepresentations on the application. Tenant screening will be conducted using Zillow's tenant screening services. Applicants have the right to request a free copy of any consumer report used in an adverse decision and to dispute the accuracy of information contained in the report. Reusable tenant screening reports are accepted if provided through a consumer reporting agency and are no more than 30 days old. OPEN HOUSE: Saturday, February 7th from 5PM - 7PM and Sunday, February 8th from 8AM - 11AM and 1PM - 2PM No appointments necessary. Applications will be reviewed following OPEN HOUSE dates.</t>
  </si>
  <si>
    <t>Prachy Mohan</t>
  </si>
  <si>
    <t>699 John St Unit 704</t>
  </si>
  <si>
    <t>Furnished 2BR/2BA penthouse with balcony and incredible views of the Space Needle and Queen Anne. Walking distance big tech companies like Amazon, Apple, Google, Meta, etc. Penthouse includes: 2 beds available 2 standing desks with large monitors &amp; 1 GB internet Full living room setup: TV, couches, dining table Fully equipped kitchen with modern appliances In-unit laundry Balcony with patio furniture Water and air filters Walk-in closet in the master bedroom Central AC and heating Floor-to-ceiling windows Building amenities include: Gym Yoga studio 3 rooftop view decks with BBQ Community lounge Rent: $4000 w/o electricity (sewage and water are covered) Renter is responsible for electricity. Parking is available for rent in the building's garage (price depends on what owners are renting it for). No smoking or pets allowed. Last month's rent is due at signing. Open for 6 month or 1 year lease.</t>
  </si>
  <si>
    <t>Sheila Olsen</t>
  </si>
  <si>
    <t>wendyolsen0530@gmail.com</t>
  </si>
  <si>
    <t>10531 Southeast 250th Place #h</t>
  </si>
  <si>
    <t>Kent</t>
  </si>
  <si>
    <t>Spacious and well maintained 3 bedroom, 2 full bathroom single family home available in a quiet and safe East Hill neighborhood. The home will feature brand new luxury vinyl plank (LVP) flooring throughout, replacing the existing carpet once the current tenant moves out. This rental includes a 2 car garage plus 2 additional driveway parking spaces, offering ample parking. The home also features a private backyard, ideal for relaxing or entertaining. The location provides easy access to shopping centers, schools, parks, and medical facilities, making daily errands and commuting convenient. Water and sewer are included in the rent, offering added value and predictable monthly costs. Lease terms and features: Minimum 12 month lease No smoking Pet friendly Brand new LVP flooring to be installed prior to move in 2 car garage plus driveway parking Private backyard Water and sewer included Please reach out for more details! Spacious and well maintained 3 bedroom, 2 full bathroom single family home available in a quiet and safe East Hill neighborhood. The home will feature brand new luxury vinyl plank (LVP) flooring throughout, replacing the existing carpet once the current tenant moves out. This rental includes a 2 car garage plus 2 additional driveway parking spaces, offering ample parking. The home also features a private backyard, ideal for relaxing or entertaining. The location provides easy access to shopping centers, schools, parks, and medical facilities, making daily errands and commuting convenient. Water and sewer are included in the rent, offering added value and predictable monthly costs. Lease terms and features: Minimum 12 month lease No smoking Pet friendly Brand new LVP flooring to be installed prior to move in 2 car garage plus driveway parking Private backyard Water and sewer included Please reach out for more details!</t>
  </si>
  <si>
    <t>Saikiran Panchakarla</t>
  </si>
  <si>
    <t>saikiran39@gmail.com</t>
  </si>
  <si>
    <t>5424 Century Pl Ne</t>
  </si>
  <si>
    <t>Lacey</t>
  </si>
  <si>
    <t>* Move-in date 03/01/2026 * 2 year old Home in Lacey, Nouvelle Court community. The community is 2 miles of I-5 for swift commuting !! The Longmire floor plan is 2,376 s.ft with 4 bedroom, 2.5 bath and 2 car garage, This delightful plan greets you with a spacious foyer and effortlessly connects you into the spacious great room, gourmet kitchen and cafe creating an ideal space to entertain, covered patio, upstairs you will find an expansive owner's suite with luxurious spa like bath, three secondary bedrooms &amp; open loft. Professionally selected luxury premier designer finishes in Premier Calm included. The entire home is upgraded with Luxury Vinyl Plank flooring (No Carpet), custom tile backsplash! Gas cooking, TONS of Storage + HUGE Kitchen w/PANTRY, Great open concept kitchen, Dining area. Stainless steel Appliances (Gas Range/Oven, Microwave, Utility room on TOP Floor including washer/dryer, Water Heater. Air Conditioning Included! Electric vehicle outlet installed in the 2-CAR garage for your convenience! The fenced backyard is complete for your outdoor enjoyment. Features Washer/dryer upstairs Stainless steel kitchen appliances including refrigerator with French doors and bottom freezer, gas range/oven Quartz kitchen countertops Large pantry Large walk-in closet in primary suite High-efficiency furnace Water heater Air Conditioning Included 1 Year Rental agreement, First Month Rent due on lease starting day. Tenant shall be responsible for all utilities (Water &amp; Sewer, Gas &amp; Electricity, Garbage). Must have renter's insurance. Must maintain front and backyard per community HOA guidelines. All adult occupants 18+ will be required to go through a credit/background check application process paid for by the renters and have a minimum credit score of 670. Applicants must have monthly gross income equal to at least 3 times the rent. Owner pays HOA. No Smoking, Pet Policy &amp; One-time non refundable pet fee. Pets: Pets are subject to approval. If approved, you will be required to pay a minimum of $300 nonrefundable pet fee (per pet) and a minimum of $30 pet rent (per pet/per month).</t>
  </si>
  <si>
    <t>Name Unknown</t>
  </si>
  <si>
    <t>1204 Southwest 107th Street Apt 202</t>
  </si>
  <si>
    <t>Two bedroom, one bathroom apartment with covered deck patio/garden area. Hardwood and tile floors Dishwasher Garbage Disposal Off Street Parking Laundry room in building (coin operated) For more information or to view please contact us! RENTAL REQUIREMENTS* - Credit score of 680 or above will be required - Verifiable monthly income should equal 3 times the monthly rent - One year verifiable eviction free rental history from current landlord is required. - One year of verifiable employment required * full list of requirements available by request. $60/person/month for Water/Sewer/Garbage. Tenant responsible for Electric. One year lease. $40 application fee per person SECURITY DEPOSIT - $1600</t>
  </si>
  <si>
    <t>Ruben Feliz</t>
  </si>
  <si>
    <t>kfelizkf@gmail.com</t>
  </si>
  <si>
    <t>950 Se 6th Ave</t>
  </si>
  <si>
    <t>Oak Harbor</t>
  </si>
  <si>
    <t>Updated 3-bedroom, 2-bath single-family home in a quiet Oak Harbor neighborhood. This move-in-ready home features luxury vinyl plank flooring, a spacious open living area with fireplace, recessed lighting, and large windows that bring in excellent natural light. The updated kitchen offers modern countertops, tile backsplash, black appliances, and generous counter space, flowing into comfortable living and dining areas. Both bathrooms feature refreshed finishes, including a custom tile shower surround, and a separate toilet area for added privacy and functionality. Bedrooms are well-sized with fresh carpet and neutral tones. Additional features include an oversized garage with workbench and shelving, built-in storage, and a full-size washer and dryer. Enjoy a large backyard with a dedicated fire pit area, perfect for relaxing evenings and outdoor gatherings, plus driveway and garage parking. The home offers a practical single-level layout and great indoor-outdoor flow. Longer-term leases available for well-qualified tenants. Small dogs considered with approved pet policy. Occupancy limits apply. All adult occupants must apply and be screened. March 1 move-in preferred. Convenient location near local amenities and NAS Whidbey.</t>
  </si>
  <si>
    <t>Dox Coorperative Moorage</t>
  </si>
  <si>
    <t>2219 Fairview Avenue East</t>
  </si>
  <si>
    <t>Stunning floating home in ideal location. Step on to your paddleboard from the back deck or enjoy the weekly sailboat races from the 400 sq ft rooftop deck complete with lounge furniture, gas grill and dining table. Huge master suite with closet space galore and spa-like master bath with rain shower. Lower level features a home office, murphy bed for overnight guests, and a fully equipped kitchen. Biofuel fireplace and cozy movie watching nook with huge skylight overhead for star gazing. Shared parking lot with dock neighbors- one car per household in lot and additional street parking above the lot. Wine and grocery shop across the street and dozens of great restaurants within walking distance. Utilities includes water, sewer, garbage, electricity (incl heat, air conditioning) and high-speed internet. For leases less than 1 year, available furnished only. Utilities remain in owner's name and utility fee applies (negotiable). For leases 1 year or longer home may be offered unfurnished and renter will place electricity and internet in own name, utility fee reduced for W/S/G only. Pets on a case-by-case basis due to HOA rules. EV charging $30/month.</t>
  </si>
  <si>
    <t>Thi Diem</t>
  </si>
  <si>
    <t>nd_pham@yahoo.com</t>
  </si>
  <si>
    <t>20113 32nd Ave Ne</t>
  </si>
  <si>
    <t>Lake Forest Park</t>
  </si>
  <si>
    <t>Well-Maintained 4BR Home on Quiet Dead-End Street This custom home offers 4 bedrooms, 2.5 bathrooms, and 2,210 sq ft on a 0.27-acre lot, located on a quiet dead-end street with minimal traffic. The main level features a chef's kitchen with both gas and electric ovens, granite countertops, and quality cabinetry, opening to a spacious family room with built-in storage. The living room features soaring two-story ceilings, abundant natural light, and a functional gas fireplace. A formal dining room and open layout provide excellent flow for everyday living. Rooms throughout the home are generously sized and well-proportioned, including a primary suite with an elegant bath. Storage is ample throughout. Outdoor living includes a covered patio, expansive deck, fenced yard, mature landscaping, and RV parking ideal for those who value space, privacy, and a well-kept setting. Additional features: Central air conditioning One attached garage space Driveway parking plus RV parking Quality finishes and custom cabinetry Convenient access to Link light rail via Shoreline North/185th or Mountlake Terrace stations, I-5, and nearby amenities. Long-term, unfurnished rental (12-month lease). No pets Tenant is responsible for utilities Showing by appointment No smoking</t>
  </si>
  <si>
    <t>Joshua Curtis</t>
  </si>
  <si>
    <t>curtisj1@seattleu.edu</t>
  </si>
  <si>
    <t>14912 Old Manor Way</t>
  </si>
  <si>
    <t>Lynnwood</t>
  </si>
  <si>
    <t>Not just a rental, it's your home! Large fenced back yard, open kitchen and dining. Primary bedroom with large walk-in-closet and walk-in-shower bathroom. Two living spaces &amp; office on main floor and bonus areas in finished basement space. Close to I-5, 405, and transit. Edmonds School District Renter responsible directly for garbage, WIFI, cable/TV, yard maintenance and keeping a clean environment. 50amp EV Charger in driveway. A portion of the home has an ADU (not a part of the 2,200 sq ft). Separate entrance, driveway and yard. One Year lease No Smoking</t>
  </si>
  <si>
    <t>Timothy Zuehike</t>
  </si>
  <si>
    <t>tczuehlke@gmail.com</t>
  </si>
  <si>
    <t>1403 143rd Pl Ne</t>
  </si>
  <si>
    <t>Bellevue</t>
  </si>
  <si>
    <t>Upper level of a house with a big deck and a large fenced lawn. There is an owner occupied certified ADU (apartment) on the lower level of the property. A quiet neighborhood with convenient access to 520, downtown and tech centers. 1.5 miles from the Bel-Red light rail station. Yard and exterior maintenance provided by owner. The home is the upper 1800 square feet, the garage (one car plus storage) and the deck. The rooms include...living room, dining room, breakfast room, kitchen, 3 bedrooms, 2 full bathrooms, laundry area in the garage, entry room and under stairs storage. The rental includes driveway parking for up to 4 cars. There is an owner occupied certified ADU (apartment) on the lower level of the property. There is no door connecting the ADU and the house. The ADU is a completely separate unit and has it's own entrance on the back of the house. The owner is a public school employee. Please read lease details prior to asking for a tour. I will need to work with tenants to arrange tour times. Weekends are preferable but other days are possible. The lease is 12 months. Utilities are $500 a month. This includes electric, water, shared router and trash There is a occupancy limit due to the existence of an ADU. There is a limit of 5 occupants. Operating a business out of the house is not permitted. A background check, employer and landlord references, credit check and income verification are all required. SmartCheck Premium service is used. The home is currently occupied by tenants. Please, respect their privacy and do not take photos or videos when touring. Please do not contact me if you are seeking a rental that allows pets.</t>
  </si>
  <si>
    <t>Cris Nielsen</t>
  </si>
  <si>
    <t>612 Sunset Avenue North</t>
  </si>
  <si>
    <t>Amazing view apartment within walking distance to downtown Edmonds. Pets negotiable on a case-by-case basis. Owner pays for WSG, tenant pays for electricity and internet. One covered parking space available. Basement laundry shared with one other tenant (no charge). Designated storage closet available in basement.</t>
  </si>
  <si>
    <t>Harmandeep Singh</t>
  </si>
  <si>
    <t>2106 Oakes Avenue #a</t>
  </si>
  <si>
    <t>Everett</t>
  </si>
  <si>
    <t>This 2026 fully renovated main-level and upper-level (Unit A) in North Everett offers a bright open-concept layout with modern finishes throughout. Enjoy quartz countertops, stainless steel appliances, mini-split heating and A/C, an in-unit washer and dryer, built in closets &amp; drawers for extra storage, a custom fully tiled floor to ceiling walk in shower with a built in bench, 9' ceilings, and lots of off-street parking. Set in the heart of downtown Everett, with walkable access to shops, dining, and daily essentials. Rent includes garbage/recycling &amp; sewer. Pet friendly with additional fee per pet. Outside smoking allowed</t>
  </si>
  <si>
    <t>Yanfeng Lu</t>
  </si>
  <si>
    <t>alex2lu@gmail.com</t>
  </si>
  <si>
    <t>1053 Pine Crest Cir Ne</t>
  </si>
  <si>
    <t>Issaquah</t>
  </si>
  <si>
    <t>Modern Living with Private Greenbelt Views in Issaquah Highlands The Space: Experience a high-quality lifestyle in this stunning, contemporary home featuring a spacious open-concept great room. Perfect for entertaining, the chef-inspired kitchen boasts an enormous central island and a large walk-in pantry. Enjoy morning coffee on your private covered deck overlooking a serene greenbelt view. Bedrooms: 4 Bedrooms (including a convenient guest suite on the lower level). Bathrooms: 3.5 Baths. Bonus Areas: Huge upstairs loft plus a versatile downstairs bonus room. Comfort: Central air conditioning for year-round climate control. The Location: Unbeatable convenience in a prime Issaquah location. Walkable: Just steps to Grand Ridge Plaza for Starbucks, Safeway, diverse restaurants, and the Park &amp; Ride. Commuter Friendly: Minutes to I-90 for easy access to Bellevue and Seattle. Top-Tier Schools: Located within the award-winning Issaquah School District, consistently ranked among the top 5 in Washington State with an A+ rating for academics and college prep Owner pays for HOA. Renter is responsible for utilities (garbage, water, gas, electric, internet), and front yard maintenance to meet HOA requirements Safety deposit one month rent and last month rent due at signing (Safety deposit will be returned after cleaning/fix deducted).</t>
  </si>
  <si>
    <t>Jeff Shelman</t>
  </si>
  <si>
    <t>8730 17th Avenue Northwest Apt 3</t>
  </si>
  <si>
    <t>MOVE IN SPECIAL... HALF OFF FIRST MONTH'S RENT! Enjoy the benefits of house type living in the comfort of your own top floor apartment in the North Ballard/Crown hill area. This unit has just been repainted throughout and looks great. Electrical, plumbing, and lighting have all been updated. New blinds throughout. It has a large, updated kitchen with a very functional layout and plenty of room for a table and chairs. The large office/sunroom is a great addition. A shared laundry room offers a coin operated washer and dryer for only $1.50 per machine. It resides on a quiet road that has been closed to through traffic. There is also a dedicated private parking spot for one vehicle and easy street parking. Soundview Park is a three minute walk offering Pickleball, tennis, a play area and ballfields. Whitman Middle School is an additional 3 minutes away. Multiple restaurants and stores are a short walk away. This is a very small family owned business that takes pride in offering clean, comfortable, well maintained units and is not affiliated with property management. No pets. No smoking. Credit and background check a must. One year lease. After that, month to month.</t>
  </si>
  <si>
    <t>Henry Dwyer</t>
  </si>
  <si>
    <t>henrycdwyer@gmail.com</t>
  </si>
  <si>
    <t>1962 Front Ave W</t>
  </si>
  <si>
    <t>Bremerton</t>
  </si>
  <si>
    <t>Situated at the end of a quiet street this top floor one bed one bath unit has peekaboo view of Sinclair Inlet. This unit comes with an indoor parking stall and storage locker. $100/mo for water, sewer, and trash. Please reach out for more information, application consists of personal info, job history, background and credit check. Owner pays for water, sewer, and trash. No smoking. 12 month lease.</t>
  </si>
  <si>
    <t>Dong Pyo Lo</t>
  </si>
  <si>
    <t>13706 Manor Way Unit J6</t>
  </si>
  <si>
    <t>LUXURY TOWNHOME FOR RENT IN LYNNWOOD! Stunning Three-storey contemporary townhome near Lake Stickney! Bright &amp; spacious living room with covered deck &amp; Air Conditioning. Designer kitchen with oversized island, Quartz counters, &amp; SS appliances. Featuring a Master suite with private bath, dual sinks, &amp; walk-in closet. Lower-level guest suite &amp; media room with private patio. Fully-fenced backyard &amp; manicured lot is perfect for entertainment! Super easy access to Seattle, Bothell, &amp; Alderwood mall. Great proximity to I405 &amp; I90. ** Pets welcome on a case-to-case basis! **rental insurance needed **Owners pay the monthly HOA dues, and the residents pay the utilities. Due at signing: 1st month rent, last month rent and 1 month of security deposit. We require rental's insurance. All utilities are responsible. if there is HOA violation, it is tenant responsible. Basic yard work is needed. This deposit is security for performance of Tenant's obligations pursuant to this Agreement, including but not limited to payment of rent, lease break fee, unpaid utilities, fines and to indemnify Landlord for damages to and cleaning of the Property for which Tenant is responsible. Deposit is fully refundable based on the move out inspection. If the Tenant vacates the property for any reason prior to the expiration of the initial term of the lease, the entire security deposit shall be forfeited and not returned to the Tenant nor credited against any amounts owing by the Tenant. To help secure refund of deposit Tenant must leave said property including all landscaped areas in same condition of when the lease started, except for normal wear and tear. Tenant acknowledges and agrees that soil and any cleaning, or repair or replacement due to smoke damage (from any source) or odors including, but not limited to food odors, pet odor and cigarette smoke. This damage is not considered normal wear and tear. Tenant agrees to have the carpets professionally steam cleaned, at Tenant's expense upon vacating the property and a receipt for said professional cleaning shall be provided to Landord. (Rental of a carpet cleaner or use of a home carpet cleaner shall not be sufficient to meet this requirement). Receipt for proof of cleaning will be required or Tenant will be charged for carpet cleaning. At the end of the tenancy, Landlord shall only be responsible for return of any portion of the security deposit owing to the Tenants to a single tenant and the check for that return may be made out to a single Tenant and it is the Tenant's obligation to apportion that refund between themselves.</t>
  </si>
  <si>
    <t>Sisic Edin</t>
  </si>
  <si>
    <t>amrita.pokarna@gmail.com</t>
  </si>
  <si>
    <t>18910 Bothell Everett Hwy Apt J1</t>
  </si>
  <si>
    <t>Bothell</t>
  </si>
  <si>
    <t>Modern 3 bedroom, 2.5 bathroom end-unit two story townhome in desirable Bothell location (Owner rental). This newly remodeled condominium offers: End-unit location with bright open-floor plan and new vinyl-plank flooring. Cozy up to a wood-burning fireplace. Stylish remodeled kitchen with ample cabinetry quartz countertops, stainless steel appliances, a range hood, disposal, new dishwasher, and pantry. Large master bedroom with en-suite bathroom. Two additional bedrooms and full bathroom on the upper level perfect for families or roommates. Private, lush patio ideal for relaxing and grilling out. Large outdoor storage room perfect for all your adventure gear. In-Unit Laundry new washer and dryer for your convenience. Parking Two reserved spaces (one carport, one uncovered). Limited guest parking on site as well. Community amenities include playground, basketball court, and clubhouse. Prime Bothell location, minutes from Downtown Bothell, Canyon Park, shopping, dining, and major highways I 405/I 5. Located in Everett School District: Tambark Creek Elementary, Heatherwood Middle School, Henry M. Jackson High. Available March 1. Owner pays water, sewer, and garbage. Renter is responsible for electricity and internet. No smoking allowed. Pets are case-by-case basis. Lease length terms are negotiable for a qualified tenant. Available March 1. Owner pays water, sewer, and garbage. Renter is responsible for electricity and internet. No smoking allowed. Pets are case-by-case basis. Lease length terms are negotiable for a qualified tenant.</t>
  </si>
  <si>
    <t>Daniel Moses</t>
  </si>
  <si>
    <t>ramras@nmsu.edu</t>
  </si>
  <si>
    <t>5650 24th Ave Nw Unit 601</t>
  </si>
  <si>
    <t>Gorgeous top floor studio apartment in one of central Ballard's finest condominiums. Freshly painted light-filled living space with an open floorpan that feels big, tall ceilings, expansive windows, private balcony. This is a fully furnished rental including furniture, kitchenware, linens, and appliances. Recent upgrades to the unit include a brand-new oven, washer and dryer, hot water heater, blackout blinds, and a quiet, energy-efficient wall-mounted heater, providing improved comfort, convenience, and modern efficiency throughout the home. The unit offers ample storage, including a spacious 10-foot walk-in closet with plenty of room for clothing, shoes, and additional personal items. Building amenities include a gorgeous rooftop garden with panoramic views of the city and mountains, fitness center. The main lobby is beautiful and offers a bookable conference room, library and communal kitchen space. There is additional communal patio area with BBQ - perfect for get-togethers. The garage is secure with clicker-access. A QFC grocery store is located directly across the street. The building also has immediate access to transit, farmer's market, restaurants and shops. Parking, water, sewer, garbage, wifi and electricity are ALL INCLUDED IN THE RENT! The building management team is excellent, customer-service oriented, and has been with the building since it opened. We are the owners of the unit (we're a friendly retired couple who are local to Seattle), we're easy to get a hold of, and are here to help make sure everything in the unit remains in good working order throughout the duration of the lease. We look forward to hearing from you! This agreement is for a fixed lease term of not less than six (6) months and not more than twelve (12) months. The rental is provided fully furnished, and all furnishings, appliances, and household items supplied with the unit shall remain the property of the Landlord and must be returned in the same condition as received, normal wear and tear excepted. The Tenant agrees to maintain the premises and furnishings in a clean and orderly manner and to notify the Landlord promptly of any damage or needed repairs. Any extension beyond the initial term must be agreed to in writing by both parties.</t>
  </si>
  <si>
    <t>Victoriya Marchenko</t>
  </si>
  <si>
    <t>lenchikmarchenchik@hotmail.com</t>
  </si>
  <si>
    <t>10515 140th Avenue Court East</t>
  </si>
  <si>
    <t>Puyallup</t>
  </si>
  <si>
    <t>3 Bedroom 2.5 Bathroom 2 car garage Duplex. Living room, dining room covered deck and 2.3 acres of freedom for little ones. 2 car garage, washer and dryer hookups. Great location near South Hill Mall. Private and Secluded yet close to shopping, Puyallup train station, 512 and 410 Fully remodeled, everything fresh and new. Amazing views of Bonney Lake hill, Orting valley, entire Cascade range and Gorgeous Mt Rainier. Water included with rent Security Deposit $2500 12 Month Lease Water included</t>
  </si>
  <si>
    <t>421 Northeast 73rd Street #r4</t>
  </si>
  <si>
    <t>Available: Feb 22 Showing: Thursday or Friday, please let me know why this might be a good fit for you, as well as any Pet / ESA needs. Private and Sunny Courtyard. Security Entry. LOCATION and BUILDING: Right by Green Lake Park Quiet Side Street Circa 1947 Art Deco building. Walk Score 92 (Walker's Paradise) Walk to Whole Foods, the Park &amp; Ride, the new Light Rail Stop 421 NE 73rd Seattle 98115 APARTMENT: The other units in the building are adorable 1br's with nice Residents. This True 2 Br Apartment was custom built for the original Builder. Elegant Real 1947 Hardwoods in all rooms Woodwork is elegant real Mahogany, with built-in book shelving. The 1st BR is Huge, with a true walk in closet The 2nd BR is good size too, ideal for a Queen bed + furnishings. Kitchen: Full kitchen with plenty of cabinets, fridge, range not in the living room this is a true dedicated kitchen Full Bathroom with bath tub. Real House sized Range &amp; Fridge. Kitchen has 10' long counters. Breakfast Nook, with a floor to ceiling built-in china hutch French Door to your own Private Patio &amp; Arbor (fully fenced) QUESTIONS &amp; Answers WSG: depends on your use and number of residents What to bring: driver's license, past landlord phone number, (800 optional Holding Deposit (Zelle) if you love the place, refundable if not approved) PETS: no dogs please, thank you. STORAGE LOCKER: Yes, included at no extra charge. LAUNDRY: Large Laundry Room on Site 1.25 / load), free storage for soaps and bleach SMOKING: No smoking Building / Courtyard / Sidewalks RECYCLING: all of our buildings provide Food Compost, Yard Waste, Recycle, and Trash bins. LEASE: 1 year leases (ok to break with 1 month's fee) OUT OF OWN we can help, and will provide a safe process (no early birds, this is not for sharp elbows) BIKE PARKING: nice covered, secure bike stalls, free for Residents. CAR PARKING: Free on street, or a Reserved stall for 80 (great value for the Urban Center) Voted best runner's lake, and best place to meet in Seattle Weekly, 16 Lighted Tennis Courts &amp; Sandy Beaches Co-Ed Volleyball &amp; Softball &amp; Swimming, Aerobics, CrossFit, and Health Clubs. Transit Paradise: the Light Rail is 5 blocks away, the Park n Ride is 2 blocks away (HUB with many Routes), Express to Downtown is 1 block away, Express to UW is 1 block away. CENTRAL to... Downtown: 10 mins Bellevue: 15 mins Lynwood: 15 mins Ballard: 20 mins BIKE to: UW, Wallingford, Fremont, Northgate, Lake Union, Phinney Ridge See Description Please</t>
  </si>
  <si>
    <t>Rene Onrust</t>
  </si>
  <si>
    <t>710 240th Way Se Unit B103</t>
  </si>
  <si>
    <t>Sammamish</t>
  </si>
  <si>
    <t>Bright 2BR/2BA Condo Steps from Sammamish Town Center, Trails, Top Schools, and the Vedic Cultural Center Clean and perfectly located, this light-filled 2 bedroom, 2 full bath condo sits in one of Sammamish's most desirable walkable areas. Freshly painted and well cared for, the home features laminate flooring, elegant crystal light fixtures, plenty of natural light, and a washer and dryer in the unit. Enjoy resort-style community amenities with two swimming pools, a fitness center, clubhouse, and acres of walking trails right outside your door, with the Hazel Wolf Wetlands Preserve within walking distance, where local beavers, a wide variety of native birds, and abundant flora and fauna can often be seen in the wetlands, along with surrounding protected forests that make the area peaceful, green, and alive with opportunities to occasionally spot some of the Pacific Northwest's most iconic wildlife that call Sammamish home. Walk to nearby schools or catch the school bus at the entrance to the community. You can also walk to the YMCA, library, parks, Sammamish Town Center, and Metropolitan Market. The Vedic Cultural Center, known for its beautiful grounds and community events, is just 1 mile away. A variety of shopping and dining options are close by, including Apna Bazar and Trader Joe's, along with many other restaurants and grocery stores. Pets under 50 lbs are welcome with a small additional pet deposit. Water and garbage included. First and last month's rent plus deposit. The Landlord pays for garbage, water, sewer and HOA dues. Tenants are responsible for all other utilities. No reusable tenant's screening report accepted.</t>
  </si>
  <si>
    <t>Farinaz Taghavi</t>
  </si>
  <si>
    <t>15420 9th Avenue Southwest #8</t>
  </si>
  <si>
    <t>Burien</t>
  </si>
  <si>
    <t>First Floor Rental + Covered Parking! The home is set in a quiet yet convenient location and because its so close to local attractions, you'll save time and remove the stress of needing to drive. The bedrooms are generous size, and the natural light that flows through makes a comfortable and relaxing personal space. High-speed internet wifi and free parking. - Quiet street, near parks and reserves, short walk to bus transport - Light-filled interiors with breezy ambiance and fresh decor - Fireplace for warmth on those chilly evenings - Well-appointed kitchen with oven, dishwasher, and storage - Private Patio for entertainment area to relax and entertain In APT washer/Dryer - High-speed internet wifi and free parking. - Private off-street car parking - 5 minutes to the airport - 20 minutes to downtown Seattle/ Bellevue. - Walking distance to PCC, restaurants, hair-salon, hot yoga, wine bars, and more! - Bus and freeway routes easily accessible! You'll enjoy staying at this fully remodeled high-end bright and comfortable urban Parisian style! Beautiful large two bedrooms. Discover this magnificent residence delivering unsurpassed luxury. Enjoy a sense of peace and tranquility throughout this uniquely charming yet stylish apartment.(Full furnished can be 6 months or less possible longer as well, flexible) The home is set in a quiet yet convenient location and because its so close to local attractions, you'll save time and remove the stress of needing to travel. The inspired use of internal space is generous with quality fixtures and fittings throughout. The bedrooms are cozy, and the natural light that flows through makes a comfortable and relaxing personal space. The bathroom is modern and stylish with a shower, toilet, and vanity. In-unit laundry ( washer and dryer) for your comfort. - Quiet street, near parks and reserves, short walk to bus transport - Light-filled interiors with breezy ambiance and fresh decor - Fireplace for warmth on those chilly evenings - Well-appointed kitchen with oven, dishwasher, and storage - Washer/dryer in-unit - Private outdoor entertainment area to relax and entertain - Private off-street car parking</t>
  </si>
  <si>
    <t>Sun Zhao</t>
  </si>
  <si>
    <t>sunsapril18@gmail.com</t>
  </si>
  <si>
    <t>2945 76th Ave Se</t>
  </si>
  <si>
    <t>Mercer Island</t>
  </si>
  <si>
    <t>Super cute and sweet home! Walking distance to Mercer Island downtown. Convenient to do everything - grocery, dry cleaning, dining, Starbucks, haircut, gym, bank, usps, ups, fedex, park, waterfront, library, doctors, etc. 10mins walk to bus station and link rail (in construction). Best location to reach to both Seattle and bellevue. Best of best school district! Community Cabana has a conference room and gym with exercise equipment. Greenbelts are nearby and great for a walk after lunch and dinner. Accept applicants who are financially responsible, clean and organized, taking care of the property. Tenant background and credit check (minimal score 680) are required. No smoking. Max 3 people move in. 1. One storage room at the first floor , one car port and one Visitor parking with parking permits provided. There are no additional fees for the 2 parking lots! 2. Water/Sewer/Garbage and HOA all included in monthly rent. 3. Besides monthly rent, you only pay electricity, cable/internet and renter insurance. 4. No sublease 5. Furnitures in the images are for staging purposes only and won't be included. 6. At least 12 month lease while multiple-year lease contract is also possible. 7. If you are interested, please apply directly via zillow application. 8. Pets are not allowed.</t>
  </si>
  <si>
    <t>f Zaishla</t>
  </si>
  <si>
    <t>921 130th St Sw Apt D106</t>
  </si>
  <si>
    <t>1Bedroom, 1 bathroom. South Everett. New appliances and kitchen including washer and dryer, wooden fireplace. 1st floor with patio and outdoor storage. Close to Boeing and i5. The property includes community pool and cabana. First month, Last month rent and security deposit due at signing. Renter pays only electricity, owner pays for water, sewer and garbage. No pets, no smoking.</t>
  </si>
  <si>
    <t>Mark .</t>
  </si>
  <si>
    <t>6641 South Puget Sound Avenue</t>
  </si>
  <si>
    <t>This duplex has approximately 800 sf and lots of storage. It's been totally remodeled, with new cabinets in the kitchen, bathroom and utility room, with quartz countertops and brushed nickel fixtures. There's not much of a yard for kids to play in, in fact there is no grass, as it's all beauty bark. All new carpet throughout and fresh paint. In the kitchen, there's all new cabinetry with quartz counters, undercabinet lighting, recessed lighting in the ceiling, stainless steel sink, and new appliances (Range/Oven, Microwave, Dishwasher, and Refrigerator). There's a one car carport, with a large 4x10 ft storage locker in front of the carport. There's also another storage room in the unit, thats approximately 15 ft x 10 ft. Sorry we do NOT accept pets! Tenant pays for water,sewer,garbage and electricity. We require 2.5X the rent as income so if you need to make $3250/mo You are also required to be on your current job at least 6 months, or in the same line of work. Credit score must be 600 We do NOT accept: - Evictions - People oweing money to prior landlords - People with poor credit or lots of accounts placed for collections - People with felonies in past 8 years - NO PETS! Maximum 2 people per bedroom so max 4 people We do not accept Comprehensive Reusable tenant screening reports as defined by and pursuant to RCW 59.18 We run a background check that costs $50/person over 18 and it checks tenancy, credit, criminal and employment.</t>
  </si>
  <si>
    <t>Gary Hasenyager</t>
  </si>
  <si>
    <t>glhdog@yahoo.com</t>
  </si>
  <si>
    <t>19029 43rd Ave Se</t>
  </si>
  <si>
    <t>3 bedroom (plus bonus room) 2 full bathroom Private home on 7 acre, quiet, peaceful, cottage style home with jetted tub and fire place in master. Cozy kitchen / living area . Freshly painted with private laundry room. Possible storage for a fee. Please ask. 1 year lease. Renter must maintain grounds. No smoking. Pet ok with approval by owner. Water, sewer, power, gas included with maximum of $400 owner will provide proof if needed. Renters to pay Internet &amp; garbage. Must provide renters insurance including liability for anyone coming into property. Furnished if needed $ for a fee. Washer and dryer included. 2 parking spaces. Credit check for all applicants</t>
  </si>
  <si>
    <t>Justice Georgitsis</t>
  </si>
  <si>
    <t>23927 20th Ave S</t>
  </si>
  <si>
    <t>Des Moines</t>
  </si>
  <si>
    <t>Beautiful townhouse across from Highline Community College. Enjoy greenspace views in front and behind property. This 3 bedroom, 3 bathroom home has a large living area with gas fireplace and reading nook. Kitchen has newer appliances and plenty of space to cook your favorite meals. Balcony off kitchen is a great place to relax. Brand new washer and dryer in unit. Ring Doorbell at front door and a Ring Camera in rear for tenant use. Recently opened Kent/Des Moines Link light rail station is walking distance away, access to SeaTac Airport and downtown Seattle. Home is available April 1st and is currently occupied. Scheduled tours only. Utilities are metered and tenant's responsibility to make and pay utility accounts - Water through Highline Water District Electric and Gas through PSE Garbage and recycling through Recology Renter is responsible for all utilities. Landlord pays HOA. Minimum 1 year lease. $3,000 deposit. $500 of deposit is non-refundable. Pets are negotiable. No more than 2, only cats or dogs. All pets must be disclosed and updated throughout the lease. A separate $500 pet deposit is non-refundable. Rent is due on 1st of the month. Late fees are: 5 days, $100; 10 days, $300. Tenant must maintain outdoor landscaping. No smoking unit.</t>
  </si>
  <si>
    <t>Matthew Cote</t>
  </si>
  <si>
    <t>matveyconstruction@hotmail.com</t>
  </si>
  <si>
    <t>123 South 199th Street</t>
  </si>
  <si>
    <t>New tiny house very private and secluded 1 bedroom with large loft 1 bathroom walk in shower fully furnished private parking big new deck and fenced in small yard washer dryer 50 tv Available you provide P.O. Box scheduled your tour today all utilities included ypu provide po box and internet Renter responsible for po box wifi</t>
  </si>
  <si>
    <t>Sean Stitham</t>
  </si>
  <si>
    <t>3962 1st Avenue Northwest</t>
  </si>
  <si>
    <t>Sunny 2-bedroom, 2 bathrooms ADU/apartment in architect designed private residence (built 2022). Quiet dead end street. Just 5-minute walk from the Center of the Universe- Lenin, bars, restaurants, Burke Gilman and the Sunday Market. This is a lower-level apartment with a private staircase entrance (22 steps to entrance), built into the side of a south facing hill. Includes two great outdoor living spaces: balcony off bedrooms and a patio off main room. High quality sound- proofing installed during construction. Upper home is occupied by owners who are long term Fremont residents and their cat. Large terraced garden lot *Available: March 15 *Renter Insurance ($500,000 general liability) required. 12 month initial lease, then month to month all utilities including Internet covered in monthly rent</t>
  </si>
  <si>
    <t>Sean Lee</t>
  </si>
  <si>
    <t>5561 16th Ave S</t>
  </si>
  <si>
    <t>Welcome to this charming and move-in ready single-story home, offering the perfect blend of classic character and modern convenience in the heart of Beacon Hill. Now available for long-term residency, this home has been thoughtfully updated for comfort and ease. Step inside to discover a newly renovated kitchen now featuring a new dishwasher and garburator and a fully updated bathroom. The home also boasts fresh interior paint and sparkling refinished oak hardwoods. The layout features three sizable bedrooms, a spacious living room, and an open dining area bathed in natural light. Key Features: Modern Upgrades: Fully updated kitchen and bath for a fresh, clean feel. Easy Parking: A freshly paved front driveway ensures effortless car access and convenience. Outdoor Space: A fully-fenced lot provides privacy and security. Prime Location: * Education: Just a 4-minute walk to Grover Cleveland STEM High School. * Healthcare: Only a 5-minute drive to the VA Puget Sound Health Care System. * Commute: Minutes from local cafes, parks, and easy I-5 access. This cozy and functional gem is ready to provide a stable, beautiful home for the long term! Renter is responsible for all utilities (garbage, sewer, electric, natural gas).</t>
  </si>
  <si>
    <t>Gregory Hawko</t>
  </si>
  <si>
    <t>jhawko@gmail.com</t>
  </si>
  <si>
    <t>3821 Ne 14th Pl</t>
  </si>
  <si>
    <t>Renton</t>
  </si>
  <si>
    <t>Modern Comfort in the Heart of Renton Highlands Beautiful 4 BR / 2.5 BA Home Welcome to your next home in the highly desirable Renton Highlands! This freshly updated 1,630 sq ft residence on a peaceful dead-end street in the President Park neighborhood offers a perfect blend of contemporary style, thoughtful upgrades, and everyday convenience. What You'll Love About This Home Bright, Freshly Painted Interior Kitchen: Sleek quartz countertops, premium stainless steel appliances. Relax in your refreshed luxury primary bathroom featuring a deep soaking tub and a spacious dual vanity. Outdoor &amp; Practical Features Private Outdoor Oasis: Fully fenced backyard with a newly refinished fence and paver patio ideal for summer BBQs, morning coffee, or night star-gazing. Convenient Parking &amp; Storage: Attached 2-car garage with high ceilings and built-in shelving for easy storage. Easy Laundry Setup: Washer and dryer included in an upstairs laundry room no more trips up and down stairs! Unbeatable Location &amp; Lifestyle Nestled in a peaceful neighborhood, this home offers both tranquility and quick access to everyday conveniences: Commuter-Friendly: Minutes to I-405 with easy back-road access to Bellevue, Issaquah, Seattle and major tech employers (Boeing, Microsoft, PACCAR &amp; more). Shopping &amp; Dining: Just a short drive to The Landing for top-tier dining and shopping. Furniture &amp; Home Goods: IKEA Renton is nearby for all your home decor and furniture needs perfect for customizing your space. Grocery Options: Multiple market choices including Safeway NE 4th St Renton and additional Safeway locations throughout Renton for everyday essentials. Healthcare Services: Access quality care from Providence facilities in the area. Travel Made Easy: Quick routes to Seattle-Tacoma (Sea-Tac) Airport make travel simple ideal whether you're jetting off for work or leisure. (Travel times vary based on traffic) Lease Details Rent: $3,488/month Security Deposit: 1 month rent Availability: 2/7/2026</t>
  </si>
  <si>
    <t>Srinivasan Chithatoor Radhakrishnan</t>
  </si>
  <si>
    <t>3005 14th Avenue Ct Nw</t>
  </si>
  <si>
    <t>Enter through a covered front porch to the main level where you'll find a large guest suite &amp; full bath. The main floor boasts a vast great room &amp; kitchen opening to a large dining area. Everything &amp; everyone has their space with 4 bedrooms upstairs, 2 linen closets, Laundry, full bathroom &amp; even an open loft area. The master suite is a tranquil retreat from a long day with a spa - like master bathroom and an enormous walk-in closet! Renter is responsible for utilities and lawn maintenance</t>
  </si>
  <si>
    <t>Laura Faber</t>
  </si>
  <si>
    <t>1544 13th Street</t>
  </si>
  <si>
    <t>Pt Townsend</t>
  </si>
  <si>
    <t>Downstairs unit in a brand-new duplex located in a quiet, wooded residential area off Sheridan Street in Port Townsend. The kitchen has full-sized appliances with an induction range, dishwasher, and quartz countertops. Mini-split heating and air conditioning, plus wall heaters in each bedroom. LVP flooring throughout. Stacked washer/dryer in unit. Located on public trails and walking distance (less than mile) to Jefferson Healthcare, QFC, and Salish Coast Elementary. Pets are allowed on a case-by-case basis with a pet deposit. Water, sewer, garbage, and recycling included in rent. Tenant pays electricity and internet service. Water, sewer, garbage, and recycling included in rent. Tenant pays electricity and internet. No smoking. 6 month, 9 month, or 1 year lease terms available. On-site parking available, along with plenty of on-street parking.</t>
  </si>
  <si>
    <t>Joe .</t>
  </si>
  <si>
    <t>1703 12th Avenue</t>
  </si>
  <si>
    <t>Seattle's Capitol Hill large 2 bedroom one bathroom apartment on 2nd floor. Has gas range, gas heat and newer windows. Deposit: 800.00 WSG: 60/mo per person Tenant pays gas and electric Cats are welcome Dogs are welcome however if they are over 20lbs or under one year old we require additional 500.00 deposit Street parking: (zone 4) Minimum credit score: 620</t>
  </si>
  <si>
    <t>Abhishek Digaskar</t>
  </si>
  <si>
    <t>adigas2@uic.edu</t>
  </si>
  <si>
    <t>13320 11th Ave W</t>
  </si>
  <si>
    <t>Beautifully updated 3-bedroom, 2.5-bath, (plus Versatile loft works perfectly as a family room, office, or flex space) 2,017 sq ft home in a quiet South Everett community. Built in 2020, this home features an open main floor with large windows, a cozy gas fireplace, and a modern kitchen with plenty of storage. Upstairs includes spacious bedrooms and a generous primary suite. Enjoy a rare outdoor living setup with a fully furnished private patio, outdoor fireplace option, gas hookup for BBQ, and a side + backyard perfect for kids, pets, and entertaining. The attached 2-car garage includes a Tesla charger connection, making EV charging effortless. Located minutes from I 5, Highway 99, Park and Ride options, and major shopping centers. Close to Home Depot, Safeway, Trader Joe's, Fred Meyer, and Costco. Part of the Mukilteo School District, with Odyssey Elementary, Voyager Middle, and Mariner High all nearby. This home offers the perfect blend of comfort, convenience, and modern amenities a rare find in Everett rentals. Lease Type:12-Month Fixed Term First month rent and Security deposit due on signing. Monthly Rent: $ 3395 Security Deposit: $3395 Application fee: 80$/person Move-out cleaning fee: 500$ at the time of moveout (Cost basis). Renter's Insurance: Required Late Fee: Rent will be due on the 1st of every month. Late fee will be assessed only after 5 days past due. Utilities not included. Tenant is responsible for establishing and maintaining all utility services directly with the providers listed below a week before move-in and throughout the tenancy: Service &amp; Provider Electricity &amp; Natural Gas - Puget Sound Energy (PSE) Water &amp; Sewer - Alderwood Water &amp; Wastewater District Trash / Recycling - Waste Management NW Internet - Tenant's choice of provider or Comcast (Currently at the property) Tenant must transfer or establish each utility account in their own name effective on the lease start date and maintain continuous service. Proof of account activation (email confirmation or screenshot) must be provided to Landlord before keys are released. Other Utility Terms Tenant is responsible for all charges, taxes, and surcharges from these utilities. Tenant must not terminate service before the lease ends. Any utility left unpaid that results in lien or billing against the property may be deducted from the security deposit plus applicable fees. Other Lease Policies Smoking: Strictly Not permitted inside the home or garage (Appropriate action will be taken if policy not followed). Landscaping: tenant is responsible to maintain in compliance with HOA guidelines. Move-in Inspection: Condition Checklist provided and signed at move-in. Tenant-Screening Disclosure We screen all adult applicants using credit, rental-history, income/employment, and public-records checks.</t>
  </si>
  <si>
    <t>Iurii Nikitin</t>
  </si>
  <si>
    <t>karenflesswein@hotmail.com</t>
  </si>
  <si>
    <t>3940 Lake Washington Blvd Se # 9d</t>
  </si>
  <si>
    <t>2-bedroom, 1.75-bath condo in the award-winning Bellevue School District! Enjoy an unbeatable location with quick access to I-405 and I-90, plus nearby bike trails, Mercer Slough hiking trails, and a 5-minute walk to the lake. Close to Factoria Marketplace and Newport Boat Launch. Minutes to downtown Bellevue. Inside, you'll love the modern open-concept kitchen featuring granite countertops, abundant cabinet storage, and a beautiful butcher block island with seating. The inviting living room offers a cozy fireplace and access to a covered balcony. Recent upgrades include remodeled bathrooms and new flooring. Includes two parking spaces (one covered, one uncovered) plus extra storage. No smoking allowed.</t>
  </si>
  <si>
    <t>Safarali Hajheidari</t>
  </si>
  <si>
    <t>santicolas@gmail.com</t>
  </si>
  <si>
    <t>555 Sw 334th Ct</t>
  </si>
  <si>
    <t>Welcome to this huge, beautiful house (close to 3000 square feet) in the best neighborhood in the heart of Federal Way at Ridge 4 bedrooms (huge master suite with walk-in closets), 2.5 baths, a den/office, &amp; a 3-car garage with lots of storage. Additional parking spaces are available in front of the house. The first-floor office space can be used as an office or an extra bedroom. There is a spacious, luxurious master bedroom with a walk-in closet. Big open kitchen with plenty of lights in the kitchen, dining room, and living room Huge laundry room with lots of space. You can use the laundry chute (instead of taking dirty clothes and linens from upstairs to the laundry room). Two sets of stairs make it more convenient to go up and down the stairs of this big two-story house. Must see the large backyard, it is huge! And very beautiful Sprinkler systems make watering the lawns and bushes easy/comfortable Audio systems in the kitchen and bedrooms make it possible to play sound in the whole house at the same time, or communicate between different parts of the house A well-maintained home conveniently located between Seattle and Tacoma, with easy access to the I-5, 167, 18, or 599, makes it an easy commute to Seattle, Tacoma, and the airport. Near downtown Federal Way and the shopping center. Excellent schools within a short distance to Panther Lake Elementary, Illahee Middle School, and Todd Beamer High School It is very close to the Private Community Park, and within walking distance of a very nice walking trail Located at the end of a cul-de-sac in a very safe and quiet neighborhood. New ROOF and some new remodels inside the house. A lot more The house is ready to move in Credit check, rent history, and income verification are part of the processing Please contact Ali for more information and arrange to have a tour of the house 555 SW 334TH Court, Federal Way, WA We request the first and last month of rent and deposit. Renter will be responsible for application fee</t>
  </si>
  <si>
    <t>2366 168th Place Northeast #2366</t>
  </si>
  <si>
    <t>Marysville</t>
  </si>
  <si>
    <t>Like-New 3 Bed + Loft | 2.5 Bath Home for Rent in Prime Marysville Beautiful 2024-built single-family home with modern upgrades, open layout, and excellent space for comfortable family living. Walkable to Costco, Target &amp; Best Buy Kids' play park right in front of the home 3 Bedrooms + Spacious Loft 2.5 Bathrooms Bright open-concept kitchen &amp; living area Stainless steel appliances + gas stove Washer &amp; Dryer included 2-Car Garage + Tesla EV Charger Backyard with extended patio No smoking | Pet-free home Tenants pay utilities Rent: $3,250/month 2366 168 Pl NE, Marysville Modern, clean, and move-in ready message to schedule a viewing! The home is available with a 12-month lease. If an early move-out is needed, advance notice is appreciated, and tenants would be responsible for rent until a new tenant is secured or a lease break fee may apply. Tenants are kindly responsible for utilities, including electricity, gas, water, garbage, and internet. To maintain the home's condition, this is a no-smoking and no-pets property.</t>
  </si>
  <si>
    <t>Guimin Wang</t>
  </si>
  <si>
    <t>sproutfish@hotmail.com</t>
  </si>
  <si>
    <t>1407 3rd Ave W</t>
  </si>
  <si>
    <t>Refined Queen Anne living with rooftop City and Mt. Rainier views. This beautifully modern 3-bedroom plus den home blends privacy, natural light, and thoughtful design across multiple levels. With south-facing windows in every room, the home is bright and serene throughout. The main living level features vaulted ceilings, expansive windows, hardwood floors, and an entertainer's kitchen with white quartz countertops, oversized island, and newer stainless appliances. Step outside to a private backyard retreat, then continue upward to the rooftop deck, where sweeping city and Mount Rainier views create the perfect sunset setting. The primary suite offers spa-like comfort with a Jacuzzi tub, glass-enclosed shower, walk-in closet, and rooftop access. Highlights include: Attached garage + additional driveway parking Private backyard + rooftop deck Cool Wine cellar Remodeled in 2018 Appliances under 3 years old Excellent storage &amp; in-home laundry Just 4 minutes to Kerry Park, with easy access to Queen Anne dining, shopping, and transit. Pets considered ($35 $50/month pet rent). Non-smoking. Tenant responsible for all utilities. Renters insurance required. 12 months lease term preferred. Available March 9.</t>
  </si>
  <si>
    <t>Homesmart .</t>
  </si>
  <si>
    <t>625 South Prospect Street</t>
  </si>
  <si>
    <t>Be one of the first lucky person to occupy one of these Luxury Townhomes just off of 6th Avenue in Tacoma. Since the left unit is now rented we are now showing just the Right unit in this Duplex that has just been completed and available for immediate move in. We spared no expense to make this the nicest 3 bedroom 2 1/2 bath unit in the area. All the bedrooms are upstairs along with a separate utility with sink. Downstairs you'll find LVP flooring and top of the line cabinets, along with beautiful tile and undercounter lighting. A mini-split in the living room will keep you cool in the Summer months and toasty in the winter as you cozy up to the electric fireplace on those blustery Winter nights. A half bath is also on the first floor for your guests as you entertain throughout the year. This unit has both a one car garage with electric vehicle charging and space for one other car in the driveway. Don't let this one slip through your fingers as it will rent quickly since there is nothing in the area like it. Renters here will pay all their own utilities including Water, Garbage and Sewer. We do require applicants to make 2 1/2 to 3 times the rent and a credit score greater than 625 to qualify along with good rental history. First months rent and a $3000 deposit will move you in. We are looking to sign a one year lease that can be renewed if all parties agree to continue on a month by month or new one year lease. We accept applications through Zillow or with our screening service. Contact Steve for more info or questions. The owner is a licensed real estate broker.</t>
  </si>
  <si>
    <t>Paul Cantor</t>
  </si>
  <si>
    <t>paulcan2@gmail.com</t>
  </si>
  <si>
    <t>10041 46th Ave Ne</t>
  </si>
  <si>
    <t>Welcome to your classic northwest home in picturesque neighborhood of Matthews Beach. Close to Matthews Beach and Burke Gilman Trail; short commute to University Village, Children's Hospital and University of Washington. Two bedrooms, a bonus room, one full bathroom upstairs and a half bathroom on the main floor. All new stainless appliances. Open floor plan with view of beautiful, natural backyard. Gas stove for cozy warmth. Home features newer carpet and paint throughout. Convenient washer and dryer on second floor. Carport and driveway for off-street parking. Tons of storage with generous closets, a finished attic, storage room off bonus room, and two additional storage closets off carport. Renter is responsible for all utilities. House is wired for CenturyLink. Smoking strictly prohibited in house. Initial lease term shall be 12 months.</t>
  </si>
  <si>
    <t>Savannah Johnson</t>
  </si>
  <si>
    <t>sefjohnson1994@hotmail.com</t>
  </si>
  <si>
    <t>20156 Vikings Crest NE</t>
  </si>
  <si>
    <t>Poulsbo</t>
  </si>
  <si>
    <t>Cancel</t>
  </si>
  <si>
    <t>Off Market</t>
  </si>
  <si>
    <t>Step into this bright and inviting 1-bed 1-bath condo featuring a wood-burning fireplace that adds cozy charm for relaxing evenings. The kitchen and dining area are filled with natural light and have tile floors, while the rest of the home has comfortable carpeting. The dining area opens to a private patio, ideal for pets or enjoying some fresh air. Viking Crest offers resort-style amenities including a fitness center, sauna, pool, clubhouse, and e-car charging stations. Walk to Poulsbo√¢??s quaint downtown shops, restaurants, and waterfront. Quick access to Bainbridge Island√¢??s ferry to Seattle or the fast Kingston ferry makes commuting simple. HOA covers everything except power and internet, offering easy living.</t>
  </si>
  <si>
    <t>Robert Phillips</t>
  </si>
  <si>
    <t>jantelp@msn.com</t>
  </si>
  <si>
    <t>121 Peebles Ct</t>
  </si>
  <si>
    <t>Shelton</t>
  </si>
  <si>
    <t>Great opportunity with some sweat equity! This 3 bedroom 2 bath home sits on a large corner fenced lot. Detached 2 car garage and room for gardening. Enjoy all the amenities Lake Limerick offers, golf course, 2 lakes, Clubhouse and more!</t>
  </si>
  <si>
    <t>3111 T AVE HOLDINGS LLC .</t>
  </si>
  <si>
    <t>3111 T Ave</t>
  </si>
  <si>
    <t>Anacortes</t>
  </si>
  <si>
    <t>Exceptional opportunity to acquire this turnkey thriving cabinet and kitchen manufacturing company that has consistently generated strong annual sales revenue since its establishment in 1988. Located in a beautiful area near the water in Anacortes, WA. This sale includes the business operations, assets, and real estate. The real estate is comprised of over 7,000 SF building plus showroom &amp; office on close to a √Ç¬Ω acre lot. With a strong focus on residential end-users, as well as wholesale clients, the company has built a reputation for delivering high-quality products and services. Turnkey business and real estate w/warehouse and showroom. Price includes real estate, warehouse, showroom, off &amp; high-end machinery, tools &amp; vehicles.</t>
  </si>
  <si>
    <t>Record Owner</t>
  </si>
  <si>
    <t>2805 S Grand St</t>
  </si>
  <si>
    <t>Down Payment Assistance options plus $10K lender credit create an excellent opportunity for qualified buyers to step into homeownership at 8|GRAND! Inquire for details. Introducing 8|GRAND, a new collection of 2-bedroom homes by Ruffhouse Development. Bold, efficient split-bedroom layout with clean lines, contemporary finishes, premium appliances including washer/dryer, and energy-efficient systems like recessed zoned heat &amp; A/C. On a hillside along a dead-end street, each 3-story home opens to 2nd floor main living spaces; select homes enjoy EV-ready off-street parking. Less than a block from Amy Yee Tennis Center &amp; Coleman Park, with easy access to I-90 and the future Judkin Park LINK light rail station, opening 2026, just √Ç¬Ω mile away.</t>
  </si>
  <si>
    <t>Gregory Kozlowski</t>
  </si>
  <si>
    <t>martinakoz@yahoo.com</t>
  </si>
  <si>
    <t>132 Dunes Lane</t>
  </si>
  <si>
    <t>Ocean Shores</t>
  </si>
  <si>
    <t>Amazing Ocean Front Property! What a great opportunity to own 100 of private, pristine Ocean Frontage. Beautiful location to build that luxury beach home youve been dreaming of or choose to use as an investment opportunity! Possibilities are endless for this unique property! Septic is already installed; electricity is at the street and there is a community well for water! Dont Wait! This true Ocean Front property wont last long.</t>
  </si>
  <si>
    <t>Ellen Kaisse</t>
  </si>
  <si>
    <t>132 30th Ave</t>
  </si>
  <si>
    <t>This triplex offers unmatched versatility, perfect for live/work, investment, or redevelopment. Located in the vibrant Leschi community, youll enjoy easy access to Lake Washington, scenic parks, top-rated schools, boutique shopping, acclaimed restaurants and tranquil green spaces, all minutes from downtown Seattle. The two-level penthouse boasts a rooftop deck with sweeping views of Lake Washington and surrounding territory. The main living area is filled with natural light and includes an office that can serve as a second bedroom, creating an ideal live/work setup. Ready for immediate occupancy, this unit offers buyers the flexibility of personal use or income generation potential.</t>
  </si>
  <si>
    <t>Isabella Selvidge</t>
  </si>
  <si>
    <t>isabella_luvsthe_fellas@hotmail.com</t>
  </si>
  <si>
    <t>434 NE OHenry Ct</t>
  </si>
  <si>
    <t>Well Maintained 4 Bedroom, 2 full bathrooms, situated in quiet neighborhood! Situated off Viking Way. One car garage and huge storage shed for your extras. The rear yard faces south and the yard is fully fenced and landscaped beautifully with a sunken fire pit. Great for entertaining and play. Within minutes to all amenities Poulsbo has to offer. Trails, basket ball court, and bus line is very close. **Plus come and see and enjoy the backyard not only with the Southern exposure, you will also have your very own blueberries, apples, figs and a cherry tree!!**</t>
  </si>
  <si>
    <t>Tracey Mckinley</t>
  </si>
  <si>
    <t>teabirdey@aol.com</t>
  </si>
  <si>
    <t>3319 104th Ave NE</t>
  </si>
  <si>
    <t>Lake Stevens</t>
  </si>
  <si>
    <t>This sprawling home is designed for modern comfort. Chef√¢??s kitchen serves as a hub for the main level w/ expansive island w/ seating, gleaming countertops &amp; ample storage. Open floorplan lives large: vaulted ceilings &amp; natural light &amp; gas fireplace anchor living room. Easy entertainment flow out slider to fully-fenced yard backing to greenbelt. Bedroom on main &amp; adjacent bath allow for multi-gen or office set-up. Upstairs, private suite-like primary w/ en-suite &amp; 2 walk-ins. Dedicated laundry room w/ folding space, ample storage throughout upstairs. Additional 3 bedrooms are generously sized &amp; large bonus room for living/media/office complete the floor. Located near shopping, community parks &amp; coveted Lake Stevens schools. Virtually staged.</t>
  </si>
  <si>
    <t>Eric Duhon</t>
  </si>
  <si>
    <t>duhone@gmail.com</t>
  </si>
  <si>
    <t>4814 240 Place SE</t>
  </si>
  <si>
    <t>Welcome to this like-new luxury home by Murray Franklyn in the sought-after Issaquah Highlands. The inviting open-concept floor plan features soaring ceilings and abundant natural light. A gourmet chef√¢??s kitchen offers an oversized island, premium appliances, and designer finishes. The home includes two guest suites, one on the main level and one upstairs. The spacious primary suite boasts a stunning 5-piece bath with a freestanding soaking tub and two large WICs. The upper level also features three additional bedrooms, a bonus room, and a large laundry room. Enjoy a fully fenced yard with space to create your own beautiful garden. Conveniently located near schools, parks, shopping, I-90, and more, and served by the award-winning ISD.</t>
  </si>
  <si>
    <t>ONWARD LLC .</t>
  </si>
  <si>
    <t>21 E North Lake Dr</t>
  </si>
  <si>
    <t>Beautiful Home located in the city of Shelton. Fully renovated. It has two beds and two full bathrooms. Located in a quiet area in the city. Excellent Location very close to schools and places to shop!</t>
  </si>
  <si>
    <t>Blanch Koppe</t>
  </si>
  <si>
    <t>jania5131jd78@gmail.com</t>
  </si>
  <si>
    <t>15108 183rd Ave E</t>
  </si>
  <si>
    <t>Bonney Lake</t>
  </si>
  <si>
    <t>Welcome to refined living in Tehaleh√¢??s 55+ neighborhood. This 2-bed, 2-bath home features an open-concept layout with modern finishes and abundant natural light. Energy-efficient upgrades including solar panels and EV charging provide both convenience and long-term value. The kitchen features contemporary cabinetry, under cabinet lighting and a streamlined flow into dining and living areas, creating an effortless setting for daily living. The primary suite includes an ensuite bath and walk-in closet for added comfort and privacy. Residents enjoy access to an exceptional collection of amenities including a clubhouse, fitness center, indoor pool, pickleball courts, trails, thoughtfully designed gathering spaces and more.</t>
  </si>
  <si>
    <t>Zhuozhong Fang</t>
  </si>
  <si>
    <t>13604 Vail Rd SE</t>
  </si>
  <si>
    <t>Yelm</t>
  </si>
  <si>
    <t>Welcome to this 3 bed 1.75 bath rambler nestled on 9.69 scenic park-like acres at the end of a long private driveway. It features a spacious layout w/ new flooring and newer paint. The kitchen is bright &amp; inviting w/ newer appliances. Sliding doors open to a spacious, partially covered rear patio, while the large covered front porch provides the inviting welcome. Addl features include attached 2-car garage, detached HUGE 4-BAY SHOP w/ 400amp &amp; RV parking, carport, circular driveway w/ space for semi-truck and trailer, &amp; pump house w/ extra storage. Enjoy peace and privacy on well-maintained grounds featuring a seasonal creek &amp; pond, fruit trees, &amp; garden space√¢??perfect for multi-generational living, home-based business, or private retreat.</t>
  </si>
  <si>
    <t>Wayne Hawkins</t>
  </si>
  <si>
    <t>seattlepostman@yahoo.com</t>
  </si>
  <si>
    <t>3971 E Roosevelt Ave</t>
  </si>
  <si>
    <t>Beautifully maintained 1,867 sq/ft, 3-bed, 2.5-bath home in the highly desirable Salishan community with a assumable 2.6% interest rate VA loan! Open &amp; bright floor plan with LVP hardwood floors throughout the house, a kitchen with tile countertops, &amp; stainless steel appliances. Spacious primary suite with bath &amp; walk-in closet, plus a loft room perfect for an office or media space. Fully fenced yard with multi-level garden space ideal for entertaining guests year-round in comfort &amp; style. HOA includes front yard maintenance, neighborhood security &amp; access to the Eastside Community Center, featuring a gym, pool &amp; indoor running track. Prime location near Swan Creek Park, schools, shopping, dining, scenic trails, hotels, &amp; minutes to I-5.</t>
  </si>
  <si>
    <t>Kyle Strachan</t>
  </si>
  <si>
    <t>KLUMSYKYLE@GMAIL.COM</t>
  </si>
  <si>
    <t>2307 Fulton St</t>
  </si>
  <si>
    <t>MOTIVATED SELLERS!! ~ HISTORY IN A HOME! Charming North Everett craftsman that has it all! Enjoy the functional flow of space from the living room, through the dining room, and into the kitchen! Large primary bedroom with walk in closet and spacious bathroom! Three other bedrooms adorn the top floor of this beauty. Fully Fenced Yard and Updated Landscaping outside ~ bring your plants and herbs to the raised garden beds! A green thumbs dream! Updated Electrical, Insulation, Vinyl Flooring, Hardware, Window Treatments, and more bring a new life to this historic home! Conveniently located to Nearby Parks, Shopping, Dining, and I-5! ~THIS PROPERTY IS PRIMED FOR AN DADU/DUPLEX DEVELOPMENT~ Bring your vision and make this property truly unique!</t>
  </si>
  <si>
    <t>Vu Nguyen</t>
  </si>
  <si>
    <t>3716 S Gunnison St</t>
  </si>
  <si>
    <t>Expired</t>
  </si>
  <si>
    <t>Off Market - No Phone</t>
  </si>
  <si>
    <t>Beautifully remodeled 2-bedroom, 2-bath rambler on a spacious 7,840 sq ft lot! Enjoy a fresh, modern feel with brand-new kitchen cabinets, new flooring throughout, and all-new kitchen appliances. The open, functional layout offers comfortable single-level living with plenty of room to relax or entertain. The large lot provides endless possibilities for outdoor enjoyment, gardening, or future expansion. Move-in ready and full of charm√¢??this one is a must-see!</t>
  </si>
  <si>
    <t>605 St Helens Ave</t>
  </si>
  <si>
    <t>**FULLY PERMITTED** 80-unit Multifamily Development Site (See Offering Memo) OR Modify plans to take full advantage of DCC zoning - 400 Height Limit and no off-street parking req w/ unlimited potential. Shovel-Ready, Transit Oriented Development Site w/ Unobstructed Rainier/Commencement Bay/City Views tucked away in the safety of North Tacoma√¢??s Stadium and Theater Districts. Project Value Engineered to Maximize Wood Framing, Avoid Subterranean Parking, Avoid High-Rise req, permitted to 2018 Code, 8-year Property Tax Exemption w/ no affordability req ALL while optimizing unit designs/amenities that maximize revenue. Hit the ground running w/ falling interest rates while strategically delivering in 2027 w/ low new construction inventory!</t>
  </si>
  <si>
    <t>BROWN FALCON LLC .</t>
  </si>
  <si>
    <t>422 Lupine Lane SW</t>
  </si>
  <si>
    <t>*SHORT TERM RENTAL* Bliss On The Bay at Oyhut Bay Seaside Resort is the perfect mix of coastal charm and modern comfort. This 2 bedroom, 2 bath home features an open, sprawling layout with a propane fireplace, light-filled living spaces, and a well equipped kitchen. Enjoy mornings on the covered porch and afternoons exploring the resorts shops, dining, and beach trails. Sold fully furnished inc. game room in the 2 car garage! Its ideal as a vacation retreat or investment property - your slice of coastal bliss awaits.</t>
  </si>
  <si>
    <t>WHEATON WAY LLC .</t>
  </si>
  <si>
    <t>3890 Wheaton Way</t>
  </si>
  <si>
    <t>East Bremertons Wheaton Way &amp; Ivy holds a unique status within the community, having been grandfathered into the zoning regulations. With its roots tracing back, the property predates the current zoning ordinances, lending it a special exemption from certain restrictions. The sale of the 83,000 square foot property presents an exciting opportunity for potential redevelopment. Picture a mixed-use complex with retail, residential, and commercial spaces to repurposing the site for a single large-scale venture. Its location could further enhance its appeal, offering accessibility and visibility that could attract both businesses and residents. All Showings strictly by Appointment! OWNER FINANCING AVAILABLE.</t>
  </si>
  <si>
    <t>Possible Owner</t>
  </si>
  <si>
    <t>2100 Lawrence St</t>
  </si>
  <si>
    <t>Port Townsend</t>
  </si>
  <si>
    <t>Musical instrument store for sale in Port Townsend, a quaint seaport town with a world-renowned musical presence. Crossroads Music is an essential resource√Ç¬†for the local musical scene. This legacy business is well established--in the same location for 29 years. It is a full-line music store selling guitars, ukuleles, keyboards, band &amp; orchestra instruments &amp; other musical gear and accessories. The main brands are C.F. Martin, National Reso-Phonic, Seagull, Ibanez, G&amp;L Guitars, F.E. Olds, Casio, Roland, Boss, Kamaka, Ohana &amp; Kala Ukuleles &amp; more. The store also rents band &amp; orchestra instruments to two school districts &amp; rents other instruments &amp; equipment for special events such as the local summer music festivals &amp; weddings.</t>
  </si>
  <si>
    <t>Mastora Hassan</t>
  </si>
  <si>
    <t>1409 51st Place NE</t>
  </si>
  <si>
    <t>Auburn</t>
  </si>
  <si>
    <t>Welcome to Trail Run Condominiums √¢?? conveniently located near freeways, shopping, and multiple transit options. This well-designed unit features a primary bedroom with full bath upstairs, plus a second bedroom with its own private full bath. The main floor offers an open kitchen-to-living layout, a half bath, and a slider leading to a private patio. Enjoy the convenience of a spacious garage and a great combination of prime location and lasting value.</t>
  </si>
  <si>
    <t>Build Royal</t>
  </si>
  <si>
    <t>25510 SE 159th St</t>
  </si>
  <si>
    <t>Stunning custom-remodeled home in the sought-after Mirrormont neighborhood within the Issaquah School District! Step inside and be impressed by vaulted cedar ceilings,great layout,and high-end finishes throughout.The gourmet kitchen features premium SS appliances,custom cabinets,quartz countertops,and undercabinet lighting.Living room boasts a cozy wood-burning fireplace and soaring cedar ceilings.Primary suite offers a covered balcony,custom vanity,walk-in shower,and walk-in closet.Lower level includes family room,theater,two additional bedrooms,and custom laundry room.Enjoy outdoor living with a Trex deck,generator,RV parking,A/c, spacious 3-car garage.This home combines luxury,comfort,and functionality in a prime location√¢??MUST SEE TODAY!</t>
  </si>
  <si>
    <t>R Kough</t>
  </si>
  <si>
    <t>dkough@psww.com</t>
  </si>
  <si>
    <t>724 N 104th St</t>
  </si>
  <si>
    <t>Ask about buyer credits with full price offer. Motivated seller. On the market for the 1st time in over 60 years, this Craftsman holds a story as special as its walls. Built by the owner√¢??s grandfather &amp; lovingly cared for by three generations, filled w/ light, warmth, &amp; history. Inside, original charm and thoughtful updates√¢??3 large bdrms, 1 bthrm, &amp; a floor plan w/ room to gather, work, &amp; play. Sunlight fills living spaces, while new flooring, fresh paint, updated electrical, brand-new appliances &amp; cabinetry &amp; more add a fresh chapter for next owner. Fenced yard &amp; alley-garage speak to everyday convenience, the setting - minutes from Green Lake &amp; surrounded by the best of city living√¢??offers a lifestyle that√¢??s both connected and timeless.</t>
  </si>
  <si>
    <t>Kris Lund</t>
  </si>
  <si>
    <t>clund1948@gmail.com</t>
  </si>
  <si>
    <t>4116 Mitchell Dr</t>
  </si>
  <si>
    <t>Set your compass toward possibility√¢??this panoramic .29-acre lot in Anacortes√¢??s sought-after Stittwood neighborhood is ready to bring your dream home to life. With elevated views of Fidalgo Bay, Marches Point, and the snow-dusted peaks of Mt. Baker, every day begins in beauty. The property includes a freshly painted 1,008 sq. ft. shop (built in 1990) featuring a newer roof, upgraded power, and electric garage door√¢??perfect for boat storage, a workshop. City water, sewer, and cable are available at the street for smooth development. Whether youre sipping sunrise bevvys w/reflections on the bay or enjoying peaceful evenings under PNW skies, this location delivers a lifestyle you√¢??ll love. Oh, and its in the choice foodie town of the area!</t>
  </si>
  <si>
    <t>14834 NE 149th Place</t>
  </si>
  <si>
    <t>Woodinville</t>
  </si>
  <si>
    <t>Completed home! Introducing Vineyard Creek, a collection of luxury modern farmhouse residences in Woodinville√¢??s new Harvest Village. Homesite 12 is a corner lot w/spacious fenced yard &amp; custom Huntwood cabinetry, Wolf 6-burner range, quartz slab countertops, energy-efficient HVAC w/individual room controls, spacious 2-car garage w/EV charging. Ideally located near agricultural preserve &amp; Sammamish River Trail, offering over 18 miles of biking, walking &amp; jogging paths, this home is a peaceful retreat w/convenient access to over 130 wineries, breweries, &amp; tasting rooms. Harvest community amenities include a luxury boutique hotel, spa, diverse dining options, &amp; vibrant retail venues. Award-winning Northshore schools! Photos are of model home.</t>
  </si>
  <si>
    <t>14331 149th Place NE</t>
  </si>
  <si>
    <t>Completed home! Introducing Vineyard Creek, a collection of luxury modern farmhouse residences in Woodinville√¢??s new Harvest Village. Homesite 43 is an elegant 4-bed, 3.5-bath design w/custom Huntwood cabinetry, Wolf 6-burner range, quartz slab countertops, energy-efficient HVAC w/individual room controls, &amp; spacious 2-car garage w/EV charging. Ideally located near agricultural preserve &amp; Sammamish River Trail, offering over 18 miles of biking, walking &amp; jogging paths, this home is a peaceful retreat w/convenient access to over 130 wineries, breweries, &amp; tasting rooms. Harvest community amenities include a luxury boutique hotel, spa, diverse dining options, &amp; vibrant retail venues. Award-winning Northshore schools! Photos are of model home.</t>
  </si>
  <si>
    <t>Kim Luke</t>
  </si>
  <si>
    <t>3508 Waller Rd E</t>
  </si>
  <si>
    <t>**Brand New Top to Bottom | Rare .54 Acre Double Lot | Tons of Parking** All new electrical, plumbing, roof, HVAC w/AC, cabinets, counters, appliances &amp; flooring. Parking for RVs, trailers, or equipment + space for a DADU or shop. Finished basement for guest/flex space. Close to shopping, dining &amp; freeway access in Puyallup schools.</t>
  </si>
  <si>
    <t>Sunil Patel</t>
  </si>
  <si>
    <t>kokipatel@hotmail.com</t>
  </si>
  <si>
    <t>4569 162nd Lane SE</t>
  </si>
  <si>
    <t>One-owner, never rented home in Lakemont, built by William Buchan Homes. Featuring an office on the main floor that can easily be converted into a bedroom, this residence also includes a spacious bonus room. The home showcases beautiful Brazilian Cherry hardwood floors and detailed millwork throughout. The kitchen is equipped with Viking Professional series appliances.Enjoy the outdoor living area with a gas fireplace, complete with a gas hookup for a BBQ. A dedicated home office, with custom furniture included. Additionally, a 300 sqft unaccounted attic space offers ample storage. The huge 3-car garage features high ceilings and is equipped with EV charging. Playground exclusive for 8 homes with only 5min walk to Cougar Ridge Elementary!</t>
  </si>
  <si>
    <t>Robert Scroggs</t>
  </si>
  <si>
    <t>squeaky814@gmail.com</t>
  </si>
  <si>
    <t>11906 SE 78th St</t>
  </si>
  <si>
    <t>Newcastle</t>
  </si>
  <si>
    <t>Over $200,000 invested in thoughtful remodels! This former model home shines with new carpet, fresh interior paint, and a newer kitchen. Light-filled and custom built, it features vaulted ceilings, tray ceilings, elegant columns, and wainscoting that reflect true pride of ownership. Enjoy newer flooring, an induction oven, and a cozy family room with a travertine-surround fireplace. French doors open to a stunning, private backyard with a gazebo featuring a gas firepit and overhead heater, an outdoor kitchen, wood fireplace, serene pond with waterfall and fountain, low-maintenance landscaping, full fencing, and greenbelt views. Roof is just over 5 years old. Convenient access to shops, dining, and freeways. A rare gem you won√¢??t want to miss</t>
  </si>
  <si>
    <t>William Smith</t>
  </si>
  <si>
    <t>3910 E Harstine Island Rd S</t>
  </si>
  <si>
    <t>Have You Ever Said To Yourself All I Need Is A Huge Garage And Shop With An Apartment On Top And Im Set? Well Here It Is! This Is A Fantastic Opportunity To Have An Over 3000 Sq Ft Garage And Shop With A Super Cute 2 Bedroom, 1 Bath Apartment On Top And Situated On 5 Acres With Lots Of Fruit Trees, A HUGE Garden, RV Hookups, Attached Tool Shop Next To The Building, A Circular Driveway, Gated Entrance And Lots Of Room For Vehicles, RVs, Construction Equipment, Landscaping Equipment Or You Name It! Fiberoptic Wiring Run To The Building! 3 Bedroom Double Tank Septic System Already Installed To Build Your Dream Home OR Put A Manufactured Home On! Well Installed With Delicious Drinking Water And Much More!! Welcome Home!</t>
  </si>
  <si>
    <t>Adrianna Johnson</t>
  </si>
  <si>
    <t>317 17th Ave E</t>
  </si>
  <si>
    <t>Classic, well-maintained SIX-plex on a NR3 lot in coveted Capitol Hill with a proven record of high occupancy rates. Each of the four 1 bed/1 bath units features hardwood floors. Updates in 2 units include refreshed kitchen + bath, updated plumbing + electrical and hardwood floors. Upstairs units have large windows that bathe the interiors in natural light. Spacious basement with shared coin operated laundry + storage and bike racks. Four prized off-street parking in back of units. Close to iconic Volunteer Park and bustling Broadway full of shopping, restaurants and close to light rail. All 6 units have renters who would like to stay, some M2M and some on year leases. Rent rolls and deposits, available upon mutual acceptance.</t>
  </si>
  <si>
    <t>Carter Harmes</t>
  </si>
  <si>
    <t>12702 166th St Ct E</t>
  </si>
  <si>
    <t>Welcome to this completely updated gorgeous 4 bedroom home in Emerald Pointe. Almost everything in this home has been updated in the last 2 1/2 years. Beautiful kitchen with new quartz countertops, backsplash, stainless steel sink &amp; all new stainless steel appliances. You will love the inviting family room with new fireplace, tiles, mantel, light fixtures and paint and the new Heat Pump &amp; furnace will keep you comfortable all year round with economical heat and A/C. Upstairs has been updated too with new vanity in primary bath, new bath surround in main bath, all new fixtures, flooring and interior paint. The second floor loft/bonus room provides additional living area. Exterior is updated as well with NEW Roof installed in 2021, NEW programmable LED permanent trim lights, NEW exterior light fixtures, fresh exterior paint and stain on fence. Fully fenced and level backyard is perfect for pets and play. Close to all that South Hill has to offer including dining, shopping and medical facilities. Only 20 minutes to JBLM. This one has it all and wont last long!</t>
  </si>
  <si>
    <t>David Woodland</t>
  </si>
  <si>
    <t>blake.woodland@gmail.com</t>
  </si>
  <si>
    <t>6321 Elizan Dr NW</t>
  </si>
  <si>
    <t>Olympia</t>
  </si>
  <si>
    <t>Stunning rambler on nearly an acre with approx. 150√¢?? of saltwater frontage &amp; panoramic views of Totten Inlet, Oyster Bay and the Olympic Mountains! Enjoy year-round water views from the impressive new deck, ideal for entertaining, relaxing and watching a variety of marine wildlife. Fully remodeled interior features new flooring, quartz countertops, brand-new kitchen, fully remodeled and pristine primary bath, French doors, A/C and updated lighting throughout. Magical setting with easy beach access and multiple outbuildings, including a new metal building for boat, RV, or toy storage. A rare opportunity for peaceful PNW waterfront living.</t>
  </si>
  <si>
    <t>Marilyn Derouin</t>
  </si>
  <si>
    <t>10324 Aurora Ave N</t>
  </si>
  <si>
    <t>Dont miss this exceptional 5-unit commercial retail building in vibrant North Seattle! Featuring a mix of spacious units, 10 dedicated parking spaces, and convenient paved alley access, this property is primed for limitless potential. Perfectly positioned in a high-traffic area, it offers superb visibility and accessibility for retail tenants. Bonus opportunity: leverage the high-ceiling basements as additional storage or convert them into more retail space to maximize rental income. With its central location, steady foot traffic, and versatile layout, this is a rare investment opportunity that√¢??s ready to flourish!</t>
  </si>
  <si>
    <t>Raveendra Voore</t>
  </si>
  <si>
    <t>18312 8th Ave SE</t>
  </si>
  <si>
    <t>Welcome to this East facing Bothell Gem in Country Woods! North East Cornet lot. Beautifully maintained home features a smart, spacious floor plan elevated by over $80K in thoughtful upgrades. Sun-filled interiors create a warm, inviting atmosphere, complemented by chefs kitchen showcasing granite counters, subway tile. Enjoy year-round comfort with A/C &amp; built-in speakers for entertaining. Upstairs the expansive primary suite offers a walk-in closet and large bath. Two generous bedrooms and a versatile loft/bonus space perfect for a private home office, media room, or playroom, complete the second floor. Enjoy nature walks in North Creek Park steps away. New Roof 2022. Minutes from I-405 &amp; all amenities. Top-rated schools. Pre-inspected.</t>
  </si>
  <si>
    <t>Of City</t>
  </si>
  <si>
    <t>7879 S 132 St</t>
  </si>
  <si>
    <t>One of the most impressive new construction homes to hit the Bryn Mawr market, this stunning brand-new 4,263 square foot residence showcases exceptional craftsmanship, thoughtful design, and modern luxury throughout. Designed with today√¢??s lifestyle in mind, the open-concept floorplan is ideal for both entertaining and everyday living, offering seamless flow, spacious living areas, and abundant natural light. The main-level gourmet kitchen is a true centerpiece, featuring high-end appliances, a convenient pot filler, elegant quartz countertops, extensive cabinetry, generous prep space, and a large walk-in pantry for effortless organization. Also on the main level, the private owner√¢??s suite provides a peaceful retreat with a spacious walk-in closet and a spa-inspired bath complete with a beautifully tiled shower and double vanity. Upstairs, three additional bedrooms offer flexibility and comfort, while a dedicated guest suite includes a luxurious five-piece bathroom with a walk-in tile shower featuring a dual showerhead system and a deep soaking tub perfect for relaxation. The lower level adds incredible versatility with a fully equipped studio suite featuring its own kitchen and a separate private entrance, ideal for guests, multigenerational living, or rental potential. With the benefits of new construction including modern design, energy efficiency, updated safety features, and low-maintenance living, this exceptional home is truly a must-see opportunity.</t>
  </si>
  <si>
    <t>7853 S 132 St</t>
  </si>
  <si>
    <t>One of the most impressive new construction homes to hit the Bryn Mawr market in a very long time, this extraordinary 4,883 sq ft residence offers 4 spacious bedrooms, 3.75 luxurious bathrooms, and four levels of thoughtfully designed living space. From the moment you arrive, every detail exudes elegance, sophistication, and grandeur, with high-end finishes and designer touches throughout. This home features an incredibly rare offering of three full kitchens, perfect for multigenerational living, large-scale entertaining, or potential rental income. The first-floor apartment-style unit includes its own kitchen, providing privacy and flexibility for guests, extended living, or a home office setup. The main-level gourmet kitchen is a chef√¢??s dream, complete with premium appliances, abundant cabinetry, generous prep space, and a dedicated serving station with a mini beverage cooler, ideal for effortless entertaining and everyday convenience. The luxurious primary suite is a private retreat with its own deck and breathtaking views of Mount Rainier and the City of Renton. The top floor is an entertainer√¢??s paradise, featuring another full kitchen and a partially covered deck that spans the full length of the home, perfect for gatherings, celebrations, or enjoying panoramic vistas. This brand-new construction masterpiece blends modern luxury, functionality, and stunning design in a truly one-of-a-kind property that is an absolute must-see for discerning buyers.</t>
  </si>
  <si>
    <t>937 N 87th St</t>
  </si>
  <si>
    <t>Nestled in the heart of Greenwood, discover refined living in this brand-new luxury 3 story townhouse, where elegant design meets modern comfort. Featuring spacious open-concept living, high ceilings, and designer finishes, every detail has been thoughtfully curated. The gourmet kitchen showcases quartz countertops, custom cabinetry, and premium appliances, flowing seamlessly into a bright living area perfect for entertaining. Upstairs, the primary suite offers a spa-inspired ensuite and walk-in closet, while the private rooftop terrace provides stunning views and space to unwind. Complete with 3 beds and 2.25 baths, this home is moments from shopping, dining, and entertainment. Experience modern luxury at its finest.</t>
  </si>
  <si>
    <t>939 N 87th St</t>
  </si>
  <si>
    <t>Clinton Mcphee</t>
  </si>
  <si>
    <t>1063 Coho Ln</t>
  </si>
  <si>
    <t>Camano Island</t>
  </si>
  <si>
    <t>Pre-Foreclosure</t>
  </si>
  <si>
    <t>Erin Whitehouse</t>
  </si>
  <si>
    <t>erinwhitehouse77@comcast.net</t>
  </si>
  <si>
    <t>6014 207th Ave E</t>
  </si>
  <si>
    <t>Great New Price!Welcome to this beautifully updated 2-story home with a daylight basement featuring 3 bdrms, a den, and 2.75 baths. The spacious living rm flows into a stunning kitchen w/ granite counters, undermount sink, full-height tile backsplash, stainless appliances &amp; a pantry closet. Enjoy newer LVP flooring throughout the main &amp; lower level. The daylight bsmt offers a lg bdrm, den, √Ç¬æ bath, laundry &amp; storage. Primary suite incl. full bath, dual walk-in closets &amp; lots of storage. All baths are updated &amp; the lg 3rd bdrm features a charming window seat. Enjoy a lg deck, patio, fully fenced yard, circular driveway &amp; 1-car garage. Updated heat/AC with mini splits in the living room &amp; primary bdrm. Access to community park &amp; boat launch!</t>
  </si>
  <si>
    <t>Catherine Arlen</t>
  </si>
  <si>
    <t>20635 Chief Sealth Dr Ne</t>
  </si>
  <si>
    <t>Indianola</t>
  </si>
  <si>
    <t>Tittel R</t>
  </si>
  <si>
    <t>8016 Fauntleroy Way Sw</t>
  </si>
  <si>
    <t>Recently painted and hardwoods redone. Clean and cozy house with open floor plan with great natural light, across from Lincoln Park. Two-bedroom, one bathroom, appliances include washer &amp; dryer, split heating and air conditioner unit, electric baseboard heaters in bedrooms, microwave, refrigerator, dishwasher and range/oven. Fenced backyard, on street parking. Available now. One year lease, renter pays utilities and responsible for appliance maintenance. No smoking, pets ok with additional deposit, on bus line.</t>
  </si>
  <si>
    <t>Karan Motwani</t>
  </si>
  <si>
    <t>23922 Se 281st St</t>
  </si>
  <si>
    <t>Maple Valley</t>
  </si>
  <si>
    <t>This 2715 square foot single family home has 5 bedrooms and 3.0 bathrooms. This home is located at 23922 SE 281st St, Maple Valley, WA 98038.</t>
  </si>
  <si>
    <t>Vladimir Kurkov</t>
  </si>
  <si>
    <t>10321 146th Street East</t>
  </si>
  <si>
    <t>Come view this beautiful 2 bedroom 1 bath duplex for rent in Puyallup! It features an attached 1 car garage, and oversized fenced yard surrounded by trees. This single level home has all kitchen appliances plus washer/dryer included. Parking is plentiful and you are conveniently located right off Meridian in Puyallup with easy access to many popular shopping centers, social areas and restaurants. Pets Welcome! Please call for more information regarding fees and deposits. Utilities: $150/mo: Water and Sewer Electricity, Gas and Garbage: Resident Responsibility Leasing Information $2,095 Monthly Rent $45 Application Fee (per applicant over 18, non refundable) $100 Non Refundable Admin Fee $2,095 Security Deposit Call or Text today with questions or to schedule a showing. Please call about our Rental Criteria before applying *Pricing and availability are subject to change daily 12 months</t>
  </si>
  <si>
    <t>Brian Foster</t>
  </si>
  <si>
    <t>bfoster74@mac.com</t>
  </si>
  <si>
    <t>1314 W Boston St</t>
  </si>
  <si>
    <t>Beautiful Queen Anne Townhouse with large roof top deck with amazing views of the Puget Sound, relax while watching the ferries come in. Stainless steel appliances, granite counter tops in kitchen and bathrooms, beautiful tile work throughout. Open kitchen, dining room and living room floor plan with bamboo hardwood floors. Both bedrooms have full bathrooms. Walking distance to Whole Foods, shops and restaurants. Close to Expedia, Amazon, and Downtown. Ample storage and attached one car garage, room for an additional car in the driveway, easy street parking as well. Renter is responsible for all utilities. No smoking or vaping. Small dog allowed, please bring to the showing.</t>
  </si>
  <si>
    <t>Sebastian Fischer</t>
  </si>
  <si>
    <t>seabassthefischer@gmail.com</t>
  </si>
  <si>
    <t>2202 12th Ave W</t>
  </si>
  <si>
    <t>Built in 2019, this contemporary townhome offers four levels of living space with luxe finishes and a top-level west-facing deck with unobstructed views, perfect for entertaining and enjoying summer evenings. The reverse floor plan maximizes views; park in the secure garage and take the elevator up to the main level. The sleek kitchen features stainless steel appliances, casual counter seating, and a wine fridge. The living room opens to the balcony, ready for grilling. Top-level bonus room with a wet bar and wall of windows that open to the deck. Lower levels have an office and two bedrooms, one of which offers a spa-like full bath, walk-in closet, and private balcony. A/C; W/D; heated bathroom floors; one parking spot with EV charger. Renter is responsible for gas and electric. Owner pays water, trash, landscaping. Able to rent furnished or unfurnished. Flexible on lease duration if helpful.</t>
  </si>
  <si>
    <t>Maria Tamayo</t>
  </si>
  <si>
    <t>17834 Ne 95th Ct</t>
  </si>
  <si>
    <t>Great location in Redmond only minutes from 520 and Microsoft main campus. New A/C and heating system - one of few homes in the area with A/C! Two spacious bedrooms each with its own bathroom, plus one half bathroom. SS appliances, 2-car garage plus 2 guest parking lots, 10-foot ceilings, hardwood floors in living and dining areas, carpet in bedrooms, private deck with woods out back. Meticulously maintained in a quiet small community walking distance from Ashford trail, Hartman Park, Redmond High School, Redmond downtown and Link light rail stations. Access to an excellent school district and family friendly neighborhood. Tenant pays for all utilities, must prove all utility bill payments are up to date at end of lease. $150 cleaning fee charged at end of lease taken out of security deposit. No smoking. Extra fee might be assessed for wear and tear outside the ordinary including smoking incidents or permeating odors. Please no indoor plants due to potential water damage. Monthly income must be at least 3x rent No prior evictions Credit score must be 700 or higher No pets, no smoking</t>
  </si>
  <si>
    <t>Ningyuan Shao</t>
  </si>
  <si>
    <t>carries003@gmail.com</t>
  </si>
  <si>
    <t>2536 231st Ave Ne</t>
  </si>
  <si>
    <t>This thoughtfully designed home include renovations inside &amp; out. It sits on a masterfully landscaped 1/4 acre lot on a quiet cul-de-sac. Main floor offers a full kitchen remodel w/ open flow, warm designer paint &amp; lighting, custom millwork &amp; hardwood floors. Upstairs contain two light, bright &amp; spacious bedrooms, &amp; updated full bath. Downstairs a 3rd bedroom was opened to create an expansive office / bonus living space w/ cozy theater seating by the tiled gas fireplace. Outside you'll find yourself immersed in a gardener's paradise with mature plants, garden space, green house, &amp; more. Every inch of this property has been lovingly maintained &amp; updated finally a truly turn-key home and definite must see! Renter responsible for gas, electric and water. Small pets allowed. Parking space available on-site and free.</t>
  </si>
  <si>
    <t>Kim Crosby</t>
  </si>
  <si>
    <t>936 Highland Avenue Apt 8</t>
  </si>
  <si>
    <t>Newly Updated! 1 bed-1 bath apartment. Wall of windows and dining nook offers beautiful mountain and water views! LAUNDRY: Shared HE laundry units on-site UTILITIES: Tenant pays $100.00 a month for Water, Sewer, &amp; Garbage. Tenant pays for Cable/Internet, and Electricity. PARKING: City Parking Permit available. No Smoking in the unit. No pets, please. 12 month lease. Owner pays for complimentary high efficiency washer and dryers on property. One month's rent as refundable security deposit. No additional move in or administrative fees.</t>
  </si>
  <si>
    <t>Shane Lin</t>
  </si>
  <si>
    <t>3901 15th Avenue South #qc7xgfe9v</t>
  </si>
  <si>
    <t>Tranquil living, but minutes from downtown of Seattle. Newer cabinet and vanity. Units surround a central courtyard. Cross street is the Jefferson Park. 1 year lease, w/s/g $100</t>
  </si>
  <si>
    <t>Yauheni Martynau</t>
  </si>
  <si>
    <t>4013 201st St E</t>
  </si>
  <si>
    <t>Welcome home! This beautifully maintained 4-bedroom, 2.5-bath cul-de-sac home offers the perfect mix of comfort, privacy, and modern upgrades -located in a quiet, secure gated community. With a fully fenced backyard, oversized patio for entertaining, and thoughtful interior finishes, this home is ideal for families, remote workers, or anyone who wants extra space and peace of mind. Home Features: 4 spacious bedrooms with great natural light 2.5 bathrooms Open and functional floor plan Modern kitchen with granite countertops + luxury backsplash Durable vinyl flooring throughout (easy to clean, no carpet) Central A/C &amp; heating Large fully fenced private backyard Extra-large patio perfect for gatherings or outdoor dining Quiet cul-de-sac location with minimal traffic Secure gated community Outdoor &amp; Community: Private backyard space ideal for kids, pets, or entertaining HOA maintained neighborhood Rental Details: Tenant responsible for: water, electric, gas, sewer, garbage HOA fees covered by owner Pet-friendly (pet fee/deposit may apply) Application fee: $50 per applicant Security deposit: 1 month's rent (subject to screening) Lease term: 12 months preferred (flexible if needed) Renter's insurance required Requirements: Credit, background, and income verification required Income guideline: ~2x monthly rent No smoking inside property Availability: Available end of March early April Move-in date flexible with approved application This well-maintained home is offered with the following lease terms: Tenant is responsible for all utilities Routine lawn care and yard maintenance are the responsibility of the tenant and must be maintained in good condition Home is located in an HOA community; tenant must comply with all HOA rules and regulations Any HOA fines or violations incurred during the lease term are the tenant's responsibility Annual HOA dues are paid by the landlord No smoking of any kind is permitted on the property Renter's insurance is required for the duration of the lease Property is offered in accordance with Washington State landlord-tenant laws. Ideal for tenants who value a clean, respectful, and well-cared-for home.</t>
  </si>
  <si>
    <t>Raymond Igcasenz Arazas</t>
  </si>
  <si>
    <t>kristel_carpo@hotmail.com</t>
  </si>
  <si>
    <t>8016 117th Street Ct E</t>
  </si>
  <si>
    <t>Beautiful 3 Bedroom, 2 Bath home in the Cedar Hollow community in Puyallup!! This sought after rambler boasts LVP flooring throughout main living areas &amp; bedrooms. Laundry room with W/D. The open kitchen ft. granite counters, white cabinets, pantry, &amp; SS appliances! Spacious living area ft. vaulted ceilings, gas FP, &amp; French doors to back deck W/VIEWS! Primary bedroom w/ walk-in closet, &amp; barn door to bathroom. 2 additional bedrooms &amp; a full bath! Large cedar deck/patio back of home w/ fenced yard &amp; plenty of room to play/entertain! Home also includes a storage shed in backyard &amp; front yard landscaping! - Community HOA includes front yard landscaping! - Landscaping (backyard) maintained by tenant. - Deposit ($1,500) along with 1st &amp; last month's rent due at signing. - Home is non-smoking only. - Proof of renters insurance required. - No subletting or unauthorized guest living in property allowed. - Tenant must abide by HOA guidelines; a digital copy will be provided prior to signing lease agreement for tenant to review.</t>
  </si>
  <si>
    <t>Lynda Knaff</t>
  </si>
  <si>
    <t>506 S 222nd St Apt 2</t>
  </si>
  <si>
    <t>Big View Condo Des Monies! Marina Place Two bedroom, One Bath, 800 sq. Ft. Ground level - unfurnished Freshly painted inside Condo. Single car, garage, plus assigned . Secured lobby entry. Full size, washer, and dryer inside unit . Kitchen, newly remodeled, natural light, beautiful, cherry cabinetry Granite countertops, microwave, range, oven, refrigerator. New stainless steel sink and faucet . Travertine tile bathroom/shower, jetted, soaking tub . * Bedroom one walk-in closet. Natural light. * bedroom 2 (OR) family Room Mounted 48 inch flatscreen stays . Chrome ceiling fan Unobstructed, Puget Sound views, and parks, Pier, Marina, sunsets, enjoy all from your own gated patio. This is your opportunity to live in vibrant Des Moines's marina district . One of the few points along our shoreline with recreational Marina, Laurich, boat, launching, kayaking, pier fishing &amp; crabbing, beach, walking, seasonal Entertainment in the park. All from your doorstep. Des Monies offers , miles of trails, bicycle, friendly lace up, your a walkers paradise walkable to downtown Des Moines and Theater, live entertainment, coffee, shops, shopping, yoga, studios, the famous Anthony's Homeport , Light rail station with/public parking/south Center mall, SeaTac airport, Burien, and Tukwila shopping within all of 5 miles from your door. This beauty won't last. I am the Owner/ Landlord. I would be honored to show you around. I look forward to hearing from you ! Thank you for your time. Suzi Q First Month rent Security Deposit Cleaning Fee Pet deposit Keys / deposit 3 month bank &amp; pay stubs Income 3X Rent</t>
  </si>
  <si>
    <t>Kyle Fritz</t>
  </si>
  <si>
    <t>kfritz340@gmail.com</t>
  </si>
  <si>
    <t>9391 Old Olympic Hwy</t>
  </si>
  <si>
    <t>Sequim</t>
  </si>
  <si>
    <t>Newly remodelled 2 bed 2 bath + bonus room $2,300 a month (incl. water/sewer/garbage) 1 year lease $2,300 deposit &amp; background check required Located downtown Sequim Off street parking, small fenced yard New ductless heat pump &amp; air furnace No smoking, no pets</t>
  </si>
  <si>
    <t>Jared Allaway</t>
  </si>
  <si>
    <t>1821 Highland Avenue #a</t>
  </si>
  <si>
    <t>The house at 1821 Highland Ave in Everett, WA, is a charming, traditional 1910 single-family home with 3 bedrooms, 1 bathroom, and about 1,000 square feet, featuring hardwood floors under carpet, a nice kitchen with refrigerator, oven and lots of counterspace and big floor area, a covered patio, and potential for attic expansion, situated on a decent lot with a detached garage (tenant will not have access to garage) and a mix of laminate/LVP/carpet flooring. Key Features: Bedrooms/Bathrooms: 3 beds, 1 full bath. Square Footage: Approximately 1,000 sq ft. Year Built: Around 1910-1915. Style: Traditional single-family home. Interior: Hardwood floors (under carpet), large living room, eat-in kitchen with included appliances, ceiling fans, and a gas fireplace. Exterior: Features a covered, transparent patio, detached 2-car garage (tenant will not have access to the garage), and sits on a lot around 6,098 sq ft. Potential: An unfinished attic offers opportunity for additional living space. Each tenant will fill out and submit an application, this includes every person in the rental property over 18. Each tenant over 18 will undergo a background check and credit check. This is a 6 month lease. more terms will be added later.</t>
  </si>
  <si>
    <t>Daniel Nadig</t>
  </si>
  <si>
    <t>jmnadig@hotmail.com</t>
  </si>
  <si>
    <t>1323 Boren Ave Apt 612</t>
  </si>
  <si>
    <t>Very nice and convenient downtown Seattle top (6th) floor studio condo. Open concept kitchen. The living/sleeping room opens up to a balcony allowing for a lot of natural light into the home and a view of Lake Union. The bathroom has a shower/tub combination and lots of lighting. You will also have the luxury of having your own washer and dryer in the condo. Floor to ceiling built in closets. This condo comes with one garage parking space and a storage room. Situated between downtown and Capitol Hill, this condo is right next door to Virginia Mason Medical Center. Walk to the core of downtown in just a couple of minutes. The building includes an controlled entry lobby , spectacular rooftop terrace with covered barbecue and entertaining area, 24-hour fitness center, media room/lounge. Water, sewer, garbage and high speed internet included in rent. No pets and no smoking. One year minimum lease. Local owner managing. Move In Cost Are As Follows: $1900.00 Monthly Rent $1000.00 Refundable Security Deposit (OAC) $200.00 Condo Association Move In Charge $45.00 Application Fee per person over 18 Renter pays electric</t>
  </si>
  <si>
    <t>Jon Tellefson</t>
  </si>
  <si>
    <t>414 Prospect Street #6</t>
  </si>
  <si>
    <t>Quiet basement apartment, corner unit with large bedroom window. Spacious living room with natural light, full bathroom. Large bedroom closet. Full kitchen. Secure locked building. Coin operated laundry on-site. Community courtyard outdoor space. Street parking. Walking distance to shops and restaurants. Easy access to highways and bus stops. Min 12 month lease. W/S/G, electricity and WIFI included for flat fee of $125/mo. Pets allowed on case-by-case basis. $25/pet/mo pet rent. Non-smoking.</t>
  </si>
  <si>
    <t>Sanford Charyn</t>
  </si>
  <si>
    <t>18874 South Angeline Avenue Northeast Apt 1</t>
  </si>
  <si>
    <t>Suquamish</t>
  </si>
  <si>
    <t>6 Month Lease, $1,200 deposit, Available Feb 5 One bedroom apartment. 18874 Angeline Ave NE, Suquamish 98392. Recently constructed one-bedroom apartment; Peek-a-boo water view. Accessible to ferries to both Edmonds and Seattle. Fairly new appliances. Entry porch; mini split heat and AC; off-street parking. Rent includes heat, electricity, sewer, water, garbage pick-up, and WIFI . Ideal for individual with fairly quiet life style. NO SMOKING OR PETS. No sublets. First and last month's rent, as well as, security deposit due at signing. Six-month lease. No pets or smoking. First and last month's rent and deposit due at signing. No sub-lets. 6 month lease.</t>
  </si>
  <si>
    <t>Jason Goans</t>
  </si>
  <si>
    <t>5115 66th Dr Ne</t>
  </si>
  <si>
    <t>Experience the comfort of living in this newly renovated home, ready for immediate occupancy. The main level boasts an open floor plan, featuring a spacious, brand new kitchen and a modern fireplace. It includes three bedrooms, two full bathrooms, and a walk-in closet in the master bedroom. The property comes with a two-car garage, a fully enclosed backyard, and large covered deck boasting an awesome sunset view. The home is equipped with stainless steel appliances, brand new cabinets offering ample storage space, and recessed lighting. It is filled with natural light and comes with a washer, dryer, and refrigerator already installed. Key Home Features: Covered Deck, Fenced Yard, Modern Gas Fireplace, Garage, Newly Installed Premium Vinyl Floors, Stainless Steel Appliances (refrigerator, stove, dishwasher, etc.), Washer + Dryer, Newly installed Kitchen. Neighborhood Features: Street Parking Please note: - Only the main level is available for rent. - Renters are responsible for all utilities (gas, electric, city), water, and internet payments. Renters are also responsible for lawn and yard maintenance, including clearing weeds and watering lawn/plants/trees. - Pets are not allowed. Please note: This rental listing is for the main level only, the lower level is not included. The property comes with a two-car garage and additional street parking. All utilities are the responsibility of the tenant, and all appliances are included `AS-IS`. This is a non-smoking property and pets are not allowed. We are seeking quiet tenants. Qualifications for potential tenants are as follows: Rent is $2600, plus utilities. Applicants should have an income that is at least three times the rent. Good credit is required, with no bills in collections. Move-in costs include the first and last month's rent, as well as a security deposit. A non-refundable application fee of $50.00 is required for each applicant over the age of 18. All applicants must apply and qualify. Utilities are to be paid by the tenant(s). Applicants should have no past evictions and a clean eviction report. Tenants will be responsible for maintaining the property and landscaping around the house. Renter insurance is required. Applicants should have a steady employment history. Positive references from past landlords are required. A security deposit is required. The lease term is for 12 months (1 year). No pets and no smoking are allowed on the property. Portable/reusable screening reports will not be accepted.</t>
  </si>
  <si>
    <t>Jade Do</t>
  </si>
  <si>
    <t>4183 244th Pl Se</t>
  </si>
  <si>
    <t>Bright and well-maintainted 3-bed/1.5 bath townhouse in a quiet Issaquah community. This home features an open living area, gas furnace, one attached garage. The downstairs has easy care flooring and great natural light, perfect for relaxing or entertaining Brand new stainless-steel stove, refrigerator being installed before move-in. Home includes smart appliances (washer, dryer, and dishwasher), with access to community swimming pools and tennis courts. The backyard features a dedicated pet area, and there's a park directly across the street. Enjoy a private patio, in-unit laundy, and convenient access to I-90, shopping, parks, and trails. The home is clean, comfortable, and move-in ready by March 1. No smoking. Pets considered with deposit. Strong applicants with stable income and good rental history encouraged to apply. PLEASE NOTE: Updated photos coming soon - Renter is responsible for all utilities, including water, sewer, electricity, gas, internet, garbage, and any optional services. - First month's rent and security deposit due at signing. - Renter's insurance required and must be active on move-in day. - No smoking or vaping inside the home, garage, or within 25 feet of the building. - Pets allowed with approved application. Pet rent and pet deposit apply. Breed and weight restrictions may apply. - Minimum 12-month lease. - All occupants and pets must be disclosed and approved prior to move-in. - Compliance with HOA rules and community guidelines required. - Late fees apply according to Washington state law. - Renter responsible for any fines or fees resulting from HOA violations during tenancy. - Klahanie community amenities (including swimming pools, tennis courts, parks, and trails) are available for resident use in accordance with HOA rules. - Renter is responsible for maintaining the home in clean condition and following move-out cleaning expectations. - Yard and outdoor areas must be kept tidy and free of debris; HOA landscaping rules apply. - Parking must follow HOA guidelines; no storing inoperable vehicles on the property. - Guests are welcome within reasonable limits and must follow community rules.</t>
  </si>
  <si>
    <t>Adwitiya Kumar</t>
  </si>
  <si>
    <t>aditya2106k@gmail.com</t>
  </si>
  <si>
    <t>3532 111th Pl Se</t>
  </si>
  <si>
    <t>You must come and see this very nice home in Silver Lake. This home is located on a nice quiet street, and has a fully fenced backyard with deck and patio. Inside you will find an updated kitchen, living room, family room, and 3 bedrooms and 2 1/2 baths. The home has been well maintained, and has new carpet. There is plenty of parking with a 2 car garage, as well as driveway parking for all your cars and toys. Costco, Safeway, Fred Meyer, Gyms, Parks and more within 5-8 mins. Lots of children in the neighborhood, making it very safe. 8/10 schools. Large backyard for gardening or bonfires. Available from 01-March-2026, move-in can be negotiated. Applicants must have: - Credit score 700 - No prior evictions - Clean background check Renter is responsible for all Utilities such as water/sewer, Gas, Electricity, Garbage</t>
  </si>
  <si>
    <t>Ernest Naslund</t>
  </si>
  <si>
    <t>charlienaslund@msn.com</t>
  </si>
  <si>
    <t>5407 152nd St Sw</t>
  </si>
  <si>
    <t>Qualified applicants! Available March 15, 2026. This is a super clean and beautiful Ramble Home located in North Edmonds on a large hilltop corner lot. This is a three (3) bedroom home, with one (1) full bath, living room with a gas fireplace that will heat the majority of the home, family room with an electric fireplace and full kitchen having a refrigerator, stove/oven, garbage disposal &amp; dishwasher, cloths washer &amp; dryer along with a large two car garage. It has hardwood floors throughout, a heated tile bath floor, baseboard electric in each room, a 200 amp electrical panel, copper plumbing, double pane windows and a family room. An asphalt shingle roof, freshlyed painted interior and refinished hardwood floors. There is a large deluxe covered patio in back. Edmonds has a terrific school system and many conveniences including a nearby historical downtown. The property is completely fenced and just .2 miles to Meadowdale Beach Park! This beautiful rambler home is being offered on a one year lease from March 15, 2026. Accepting applications from credit and income qualified parties for a Twelve Month Lease of $3,200 monthly along with a $3,200 damage deposit to secure the rental. A lease extension at current market rates is possible, subject to owner's approval. 100% Non Smoking with no pets allowed. No home businesses allowed unless approved by the owner. Please Note, this property is currently tenant occupied and therefore it is not permitted to access the property in any manner or to make contact with the tenant(s). Please refer any inquires directly to the owner. To be extremely clear, please do not walk the property without permission from the owner as viewing will be allowed by appointment only, arranged directly with the owner. Thanking you in advance for honoring this requirement. $3,200 Monthly Lease Payment due by the First (1st) day of each month, which will be late starting the Fourth (4th) day and incure a $100.00 late fee. Tentans are encouraged to obtain renters insurance as landlord/owner does not have liability or coverage for any personal injury, property damage or theft.</t>
  </si>
  <si>
    <t>Muidul Murtaza</t>
  </si>
  <si>
    <t>murtaza.chowdhury@gmail.com</t>
  </si>
  <si>
    <t>19102 20th Dr Se Unit J103</t>
  </si>
  <si>
    <t>Open House Sunday, Feb 8th 12 noon till 1pm. This 2 bedroom 2.5 bathroom has a living space of 1304 square feet. 2 car garage and visitor parking. This home includes a living room with a fireplace and a new carpet with access to a deck. A well-equipped kitchen that includes a dishwasher, microwave, refrigerator, and GAS RANGE oven. The master bedroom comes with a master closet and bathroom! Located near plenty of shopping, restaurants, parks, schools, Fred Meyers, and Indian grocery(Mayuri Apna Bazaar), Restaurants are nearby too. The resident is responsible for all utilities, and rental Insurance is required. Deposit + First and Last month's rent on lease signing. Non-refundable pet deposit of $500/pet (small dog only) This 2 bedroom 2.5 bathroom has a living space of 1304 square feet. This home includes a living room with a fireplace and a new carpet with access to a deck. A well-equipped kitchen that includes a dishwasher, microwave, refrigerator, and GAS RANGE oven. The master bedroom comes with a master closet and bathroom! Located near plenty of shopping, restaurants, parks, schools, Fred Meyers, and Indian grocery(Mayuri Apna Bazaar)Restaurants are close by too. The resident is responsible for all utilities, and rental Insurance is required. Deposit + First and Last month's rent on lease signing.</t>
  </si>
  <si>
    <t>Pravin Bobade</t>
  </si>
  <si>
    <t>bobadepravin@gmail.com</t>
  </si>
  <si>
    <t>16125 Juanita Woodinville Way Ne Unit 2002</t>
  </si>
  <si>
    <t>Beautifully Updated 2BR Townhome with Garage, Pool &amp; Top Schools Bothell Move-in ready 3-story townhome located in the desirable Sonoma Villero community in Bothell. This spacious home offers 2 bedrooms, 2.5 bathrooms, a 2-car garage plus carport, and a functional open layout. Situated in the award-winning Northshore School District. Enjoy a bright and inviting living space with a large living room, open kitchen, and a private back patio perfect for relaxing or entertaining. Features Well-maintained interior featuring updated paint, carpet, and appliances Spacious primary suite with vaulted ceilings Primary bathroom with double sinks Built-in closet drawers in both bedrooms Peaceful private back patio 2-car garage with storage space plus 1 carport Community amenities include gym, pool, spa, and clubhouse Prime Location Walking distance to Brickyard Park &amp; Ride (easy commute to Bellevue, Seattle, Lynnwood, and Everett) Minutes from Totem Lake and Woodinville wineries Close to UW Bothell and Cascadia College Near Brickyard Road Park with basketball and tennis courts Convenient access to I-405, Hwy 522, and Hwy 202 Rent: $2,695 per month Security Deposit: One month's rent Rent includes water, sewer, and garbage Owner pays HOA dues Renter's insurance required Final approval based on credit history, background check, and employment/income verification HOA application required Non-refundable application fee: $150 per applicant Move-in / Move-out fee: $150 (payable at orientation)</t>
  </si>
  <si>
    <t>Jeremiah Jester</t>
  </si>
  <si>
    <t>jeremiahjester@gmail.com</t>
  </si>
  <si>
    <t>104 Nw 84th St</t>
  </si>
  <si>
    <t>Super cute and spacious one bedroom day light basement apartment in owner occupied home. Very desirable Greenwood/Phinney Ridge neighborhood. Separate entrance with shared laundry. additional $80 monthly utility payment includes everything - water, sewer garbage, gigabit Internet, laundry. No pets. Lots of natural light! Amazing useable back yard with fire pit, bbq and lounge chairs. *Available 3/1 or possibly before $1000 refundable deposit. $50 dollar application fee. parking available for additional fee. $100 monthly utilities. possibilty of dog, no smoking. Lease term negoitable. 3-6months preferred and option to renew for longer.</t>
  </si>
  <si>
    <t>Petr Shypila</t>
  </si>
  <si>
    <t>9041 7th Ave Nw</t>
  </si>
  <si>
    <t>Welcome home to this freshly renovated gem located at 9041 7th Ave NW, perfectly situated in a quiet and safe pocket of the neighborhood. This property has been meticulously updated to combine modern convenience with comfortable living. The main floor features a bright, sun-drenched living room that flows into a refreshed kitchen equipped with a suite of high-end Samsung appliances, including a dishwasher. The bedrooms are designed to offer full privacy and tranquility, ensuring a restful retreat. Downstairs, you'll find a spacious basement with an open floor plan and a serving bathroom a versatile space ideal for a media room, home office, or recreation area. Enjoy peace of mind and keyless convenience with the installed Ring camera system and Yale smart lock. The property also features an in-unit washer and dryer for effortless laundry days. Outside, the home offers a welcoming front yard and a private backyard perfect for relaxing. You couldn't ask for a better location: you are just minutes away from the vibrant cafes and shops of downtown Greenwood. Daily errands are a breeze with Trader Joe's and Fred Meyer located nearby. Key Features: Condition: Freshly renovated throughout Smart Home: Yale Smart Lock &amp; Ring Camera included Appliances: LG washer, dryer, and Samsung in the kitchen. Layout: Sunny living area, private bedrooms, and a finished open-plan basement with extra bath Location: Walking distance to Greenwood dining and major grocery stores Please review our detailed screening criteria below before applying. We accept the first qualified applicant who submits a complete application. Standard Rental Screening Criteria 1. Identification * Applicants must provide valid government-issued photo identification. * All occupants 18 years or older must submit a separate application and pay the screening fee. 2. Income Requirements * Total combined gross monthly income of all leaseholders must be at least 3 times the monthly rent. * Income must be verifiable via pay stubs (last 2 months), tax returns (last year), or an official offer letter for new employment. * Self-employed applicants must provide bank statements for the last 3 months and the most recent tax return. 3. Credit History * Minimum credit score of 720 is required for all applicants. * No active bankruptcy or bankruptcy discharged within the last 3 years. * No history of outstanding rental collections or judgments from a prior landlord. * Open accounts in good standing (no past due balances). 4. Rental History * Applicants must have 24 months of verifiable, positive rental history or homeownership history. * Positive history includes: - No eviction records. - No more than 1 late rent payment in a 12-month period. - No record of material damage to the rental unit. - No lease violations (e.g., noise complaints, unauthorized pets/occupants). 5. In-Person Home Tour * We require in person home tour for an application to be complete. This is a mandatory step. Note: We will contact previous landlords. Inability to verify rental history may result in denial.</t>
  </si>
  <si>
    <t>Divine .</t>
  </si>
  <si>
    <t>3912 73rd Avenue Court Northwest #3912</t>
  </si>
  <si>
    <t>Gig Harbor</t>
  </si>
  <si>
    <t>Short proximity to local dining, shopping, and other attractions. Parks, Harbor Family Park (0.5 mi), Brittany Bay Gourmet, Island View Market, Metropolitan Market, Safeway Craig's Music Lessons, Nightlife. Spacious layout, backyard, and driveway. Peaceful neighborhood with very few sources of noise nearby Excellent access to freeways and/or major arteries, with a very low chance of parking problems Best in class public schools within a short drive No smoking Cat ok</t>
  </si>
  <si>
    <t>Jordan .</t>
  </si>
  <si>
    <t>414 147th Avenue Southeast Unit B</t>
  </si>
  <si>
    <t>Snohomish</t>
  </si>
  <si>
    <t>Spacious 1,400 sq ft home offering 3 bedrooms and 2 bathrooms, built new in 2020, a large fully fenced yard, and ample parking. Enjoy year-round outdoor living with a generous covered patio. The home features on-demand hot water and air conditioning throughout for comfort and efficiency, and is conveniently located within walking distance to Machias Elementary. *Pictures are of unit next door but same quality. Tenant responsible for yard maintenance No Smoking</t>
  </si>
  <si>
    <t>Duncan .</t>
  </si>
  <si>
    <t>8224 20th Ave Ne</t>
  </si>
  <si>
    <t>Welcome to this thoughtfully designed, new-construction 3-bedroom, 3.5-bath townhouse tucked beneath a mature evergreen. The home feels bright and open, with great natural light, a smart layout, and a sense of privacy that's hard to find. Outside, you'll have a private patio and fenced backyard perfect for grilling, relaxing, or letting a dog stretching its legs. Parking is easy with an attached garage (best suited for a small car) plus an additional off-street space. Inside, the home features eco-sourced hardwood floors, stainless steel appliances, and an EV charger, offering modern convenience without feeling overdone. Air conditioning keeps things comfortable in the summer, with units in both the main living area and the primary bedroom. Each of the three bedrooms has its own en-suite bathroom, making the setup ideal for roommates, guests, or a dedicated home office. The location is a big plus: walkable to great restaurants, bars, and public transit, with quiet, tree-lined streets and well-kept sidewalks. U-Village and Matthews Beach are both close by, offering easy access to shopping, dining, and outdoor space. One-year lease minimum. Available March 1, with the possibility of a mid-February move-in if needed. Rent: $3,995/month Security Deposit: $3,995 (refundable) Lease Term: 12 months Pets: 1 cat or 1 dog allowed (subject to approval) Smoking: No smoking or vaping Parking: 1 compact garage space (small car only) + 1 off-street space Utilities: Tenant responsible for electricity, gas, and internet. Water/Sewer/Garbage to be billed to tenant based on sub-metered usage. Internet: Xfinity and/or Quantum Fiber available Availability: March 1st (Mid-February could also work)</t>
  </si>
  <si>
    <t>Yu Guo</t>
  </si>
  <si>
    <t>guoyu_kathy@hotmail.com</t>
  </si>
  <si>
    <t>19629 9th Dr Se</t>
  </si>
  <si>
    <t>$3700/month, 2450 sft - Rambler with Daylight Basement for Rent. 4 Bedrooms, 3 Full Bathrooms, 3 Car garage w/RV parking. Hardwood floor for kitchen, dinning room and hallways. Carpet for other areas. Lots of storage space. Quiet cul-de-sac. The house is available starting early February 2026. Well maintained 2450 sqft single family home in quiet Cul-de-sac in Bothell/Canyon Park for rent. Award-winning Northshore School District. 5 minutes to I-5 and I-405. Close to shopping centers (Thrashers Corner and Canyon Park). Walking distance to Fred Meyer, Safeway and many restaurants. Close to Alderwood Mall. Charming and stylish house, perfect for family. Awesome floor plan, with 4 bedrooms, 3 full baths, 3 car garage, RV parking, super large recreation room downstairs. 4 skylights and large windows for maximum natural light. Open kitchen to family room. Decorative painting, stainless steel appliances. Gas fire place upstairs and downstairs. Beautiful vaulted ceiling in the living room with ceiling fan. Vaulted in the master with ceiling fan. Hardwood floor in the Kitchen, formal dining room and hallways. Wall-to-wall carpet throughout. Large additional storage. Sizable deck overlooking fully fenced back yard with trees providing great privacy. No smoking. Applicant must pass background and credit check. One month security deposit and last month's rent in advance. Tenant is responsible for electricity, gas, waste-manager, water bills, and yard maintenance. One month security deposit and last month's rent due at signing. No smoking allowed. Pet case by case. Extra Pet fee per month is required. Available for move in early February 2026.</t>
  </si>
  <si>
    <t>Philippe Hujoel</t>
  </si>
  <si>
    <t>amarionprovince@gmail.com</t>
  </si>
  <si>
    <t>8041 Crest Dr Ne</t>
  </si>
  <si>
    <t>This house is located on a very quiet street in the Sand Point Country Club. The Sand Point Country club is located close to Children's Hospital, the University village, and the University of Washington. It is a gated community with a security guard. Hardwood floors throughout the house combined with hydronic heat make it a low-allergy environment. Top-end appliances; gas-fired range, Subzero fridge, dishwasher, washer and dryer in large laundry room with ample space for ironing. Eckstein/Roosevelt school district. Fireplace in main living room. Light-filled rambler with finished daylight basement. Large private backyard with a stone patio. Two bedrooms on main floor; one large bedroom and bonus room in basement. High speed electric car charger in driveway. Renter is responsible for paying for utilities as well as lawn upkeep. No pets or smoking. 1 year lease.</t>
  </si>
  <si>
    <t>Luis Vargas</t>
  </si>
  <si>
    <t>jorgevargas@msn.com</t>
  </si>
  <si>
    <t>2452 S 116th St</t>
  </si>
  <si>
    <t>Very centralized, beautiful inside and out and beautiful views. Come check it out for yourself. The $2,900 includes the following Utilities: Water, Garbage, Sewer, and Electricity. Also included is 2Gig High Speed Wifi. Don't pass on this, you will love how quiet it is and how easy it is to go south and north. One year lease then month to month for the advertised price. Other terms negotiable.</t>
  </si>
  <si>
    <t>Malina Lopez</t>
  </si>
  <si>
    <t>honeybearlola@gmail.com</t>
  </si>
  <si>
    <t>8052 14th Ave Ne</t>
  </si>
  <si>
    <t>Newly refinished, clean and bright convenience studio. Daylight basement space with ample storage and charm. Unit has private entrance at rear of house with alley access. Enter into a spacious hallway that has wall brackets for bikes and paddle boards etc. as well as a stationary cupboard. A small tiled entryway with built in bookcases and shelves that feature wooden architectural details. Unit has exposed heat ducting and an egress window. Wood flooring and tiled bathroom. Space features a convenience kitchen with stainless steel sink, two electric stove top, under counter fridge (with access to a full size basement fridge) and small combination microwave / convection / air fryer oven. Kitchen island with storage and pull out dining / working space. Floor to ceiling pantry cupboard. Couch lounging area and bed are separated by a tall knee wall. Bed area features a wall of 10ft tall built-in cupboards for hanging and shelf space for clothing and personal belongings. Charming bathroom, with exposed industrial ceiling pipe and large shower. The home has a Whole home water filtration system, the shower tap water is all filtered, no need to purchase bottled water Please no heavy perfumes or cologne or scented candles- sorry I am very allergic to all the chemicals in those products. Landlord pays utilities and internet. Close to Maple leaf park, light rail and amenities within walking distance. 10-15 minute bus ride to U.W. New professionally built and designed unit, furnished. Very nice area, in quiet two person family home. Newly refinished, clean and bright convenience studio. Daylight basement space with ample storage and charm. Unit has private entrance at rear of house with alley access. Enter into a spacious hallway that has wall brackets for bikes and paddle boards etc. as well as a stationary cupboard. A small tiled entryway with built in bookcases and shelves that feature wooden architectural details. Unit has exposed heat ducting and an egress window. Wood flooring and tiled bathroom. Space features a convenience kitchen with stainless steel sink, two electric stove top, under counter fridge (with access to a full size basement fridge) and small combination microwave / convection / air fryer oven. Kitchen island with storage and pull out dining / working space. Floor to ceiling pantry cupboard. Couch lounging area and bed are separated by a tall knee wall. Bed area features a wall of 10ft tall built-in cupboards for hanging and shelf space for clothing and personal belongings. Charming bathroom, with exposed industrial ceiling pipe and large shower. The home has a Whole home water filtration system, the shower tap water is all filtered, no need to purchase bottled water Please no heavy perfumes or cologne or scented candles- sorry I am very allergic to all the chemicals in those products. Landlord pays utilities and internet. Close to Maple leaf park, light rail and amenities within walking distance. 10-15 minute bus ride to U.W. New professionally built and designed unit, furnished. Very nice area, in quiet two person family home.</t>
  </si>
  <si>
    <t>Katie Kapugi</t>
  </si>
  <si>
    <t>katiekapugi@gmail.com</t>
  </si>
  <si>
    <t>840 Ne 125th St Apt 205</t>
  </si>
  <si>
    <t>Hardwood flooring throughout, wood burning fireplace, new washer and dryer in unit, new microwave in unit, balcony. Close to light rail (one opening up just a few blocks away, another about a mile away with a park and ride) walkable to grocery stores, elementary schools, dog parks, green spaces, a few blocks away from a community garden, close to the golf course with public access and trails surrounding the perimeter. close to I-5 and other major routes. Water, sewage, and garbage is included in monthly rental cost. Tenant is responsible for electricity. covered garage and dedicated parking spot in building. only two pets allowed per HOA rules. Tenant is responsible for abiding by all lease contract and HOA rules (provided with lease contract). Lease is for one year. No smoking in unit. The HOA requires a background check for renters.</t>
  </si>
  <si>
    <t>6536 20th Avenue Northwest #6536</t>
  </si>
  <si>
    <t>Spacious 3-Bed / 1-Bath in Highly Walkable Ballard! Welcome to your next home! This freshly painted and updated 1,600 sq ft duplex unit in the heart of Loyal Heights / Ballard offers exceptional living space and an unbeatable location: Property Features 3 bedrooms + full bathroom plenty of room to live and work New kitchen flooring + fresh paint throughout Full-size washer &amp; dryer included Forced-air heating + mobile air conditioning for year-round comfort Private deck perfect for morning coffee or evening relaxation Back patio with grilling area ideal for outdoor meals and entertaining Fireplace adds charm and cozy vibes Ample storage throughout the home Fruit trees in the yard fresh seasonal goodness right outside your door Unbeatable Neighborhood Benefits Very walkable location most errands are doable on foot, with great access to shops, restaurants, coffee, and specialty food stores just a short stroll away. Excellent access to parks and outdoor spaces a park is only a block-and-a-half away! Ballard living at its best walk or bike to downtown Ballard's vibrant restaurants, bars, music venues, boutiques, and community events. Transit access nearby makes commuting easy with bus connections available close by. Residential street with mature trees and neighborhood charm, yet minutes from urban amenities. Whether you love walking to brunch, biking to local events, or simply relaxing on your private deck at sunset, this home delivers comfort, convenience, and community all in one. Renter is responsible for electricity, gas (furness), internet access/cable.</t>
  </si>
  <si>
    <t>Molly Lu</t>
  </si>
  <si>
    <t>6035 19th Avenue South #a</t>
  </si>
  <si>
    <t>Located in convenient location,10 minutes to downtown Seattle, South and North freeway exits/ entrance, Asian grocery shopping center and Safeway;QFC;PCC and more</t>
  </si>
  <si>
    <t>Hilary Groves</t>
  </si>
  <si>
    <t>1hilarygroves@gmail.com</t>
  </si>
  <si>
    <t>6541 25th Ave Nw</t>
  </si>
  <si>
    <t>BALLARD, quiet neighborhood street, walking distance to the restaurants, shopping and the fun. single garage and off-street parking for one more. UPSTAIRS: Vaulted ceiling in upstairs living room with fireplace and a street-side, covered balcony. Kitchen with range/stove, dishwasher. Master with bath. DOWNSTAIRS: one bath and two bedrooms (one with French doors to fenced back garden patio). Skylights throughout. Washer/dryer. Electric wall heaters. 3500.00mo. First and last, $1000.00 total damage deposit( $750 refundable,$250 not refundable for cleaning and wear) Up to two small pets -$25 each per month. Tenant responsible for utilities.</t>
  </si>
  <si>
    <t>11517 155th Ave SE</t>
  </si>
  <si>
    <t>This home has been fully restored- and is like a new 2025 home. Conservatively, 95% of this home is brand new. Sellers had planned to move in and keep it, but plans changed. Brand new plumbing, electrical, flooring, fixtures, kitchen, roof, windows, &amp; hot water tank. It is a √¢??must see.√¢? It√¢??s in a very quiet 55+ community that has amazing neighbors. Dues are very reasonable for this surprisingly good deal on your new home!</t>
  </si>
  <si>
    <t>Jie Lin</t>
  </si>
  <si>
    <t>shoppingforjie@gmail.com</t>
  </si>
  <si>
    <t>588 Bell St Unit 406</t>
  </si>
  <si>
    <t>Welcome to Insignia, Seattle's premier residence! Beautiful 2 bedroom home ideally situated on the 4th floor. Amazing views Open floor plan with designer kitchen &amp; huge private outdoor balcony. Unrivaled amenities include 24-hour concierge, 2 level gym, Yoga/Pilates studio, indoor pool/hot tub, theater, 7th floor open-air park, 41st floor sky retreat &amp; resident lounge. Central A/C, laundry in unit, 1 secure parking &amp; larger storage storage area. Central Hot Water, Earthquake Insurance, Gas, Garbage, Water/Sewer, 24-hour Concierge are all included in the rent. If you want to also rent the one secured parking spot in the same floor, the total rent would be $4000.</t>
  </si>
  <si>
    <t>Andrew Parlette</t>
  </si>
  <si>
    <t>leparlette@gmail.com</t>
  </si>
  <si>
    <t>712 Moonlit Lane</t>
  </si>
  <si>
    <t>Wenatchee</t>
  </si>
  <si>
    <t>A Once-in-a-Lifetime Opportunity! Zoned RR5, this exceptional 67+acre estate, spanning three separate parcels, offers endless potential for investors, and dream home seekers. Perched atop the world, a classic mountain home is surrounded by evergreen forests, open space, and breathtaking views. Wild life roams freely, creating a serene natural sanctuary. Enjoy private trails for horseback riding, skiing, hiking, and biking, plus a tranquil pond and a rentable cherry orchard for added income potential. With an FAA-registered airstrip and private hangar, this one-of-a-kind property is perfect for a private retreat, equestrian estate, or community compound√¢??all just minutes from Mission Ridge and downtown.</t>
  </si>
  <si>
    <t>Bruce Morrison</t>
  </si>
  <si>
    <t>brucem4775@gmail.com</t>
  </si>
  <si>
    <t>4312 Meridian Rd NE</t>
  </si>
  <si>
    <t>Dreaming of country living with city conveniences? This charming 2 Bedroom, 1 Bathroom with a Shower, 1 Bathroom with just a Tub in the primary, manufactured home sits on 1.36 acres, offering plenty of space for animals, gardening, or simply enjoying the outdoors. Inside, you√¢??ll find an inviting layout featuring a gas fireplace, a soaking bathtub in the primary suite, another fireplace in the living room, and all appliances included for move-in ease. The property is partially fenced and ready for your personal touch. Conveniently located near the golf course, I-5, Costco, and local shopping, you√¢??ll love the perfect balance of privacy and accessibility. Come see the possibilities this peaceful property has to offer!</t>
  </si>
  <si>
    <t>Russell Sellen</t>
  </si>
  <si>
    <t>ggoodnight@yahoo.com</t>
  </si>
  <si>
    <t>1311 H Ave</t>
  </si>
  <si>
    <t>Ready to take on substantial updates &amp; bring new life to a classic home? Set on a spacious lot in the heart of Anacortes, 1920s farmhouse offers rare opportunity! 2302sf interior w/ handcrafted knotty pine &amp; mahogany cabinetry adding warmth &amp; character, &amp; some areas prepared for significant renovation. Multiple sheds &amp; lean-tos (in varied condition), from its former working-farm history, provide project space, storage, or hobby use. Central garden w/ fountain &amp; established plantings waits to bloom again in spring. Zoning allows range of options, incl multi-unit potential &amp; dual kitchens offer separate living spaces. Close to downtown, marinas, trails, &amp; situated beside a community ballpark/playground, this property is ready for your vision.</t>
  </si>
  <si>
    <t>Andrew Makori</t>
  </si>
  <si>
    <t>nmmakori@yahoo.com</t>
  </si>
  <si>
    <t>5615 114th St SW</t>
  </si>
  <si>
    <t>Mukilteo</t>
  </si>
  <si>
    <t>Opportunity Knocks in the highly sought-after Harbour Highlands community! This charming Victorian home on an oversized lot offers 3 bedrooms and 2.5 baths across 1,936 sq ft. The smart floor plan features new flooring on the main level, formal living/dining rooms, a cozy family room with one of two fireplaces and vaulted ceilings, plus a Chefs kitchen with an island. Upstairs, find the primary suite with a bay window sitting area and an ensuite bath with a skylight, along with two additional bedrooms and a full bathroom. The fully fenced, private backyard is an oasis featuring a deck and patio surrounded by mature tall trees. This gem is minutes from Mukilteo schools, the golf course, ferry and freeway access. Ready for you!</t>
  </si>
  <si>
    <t>NORTH MISSION ENTS LLC .</t>
  </si>
  <si>
    <t>0 Gudmundson Rd</t>
  </si>
  <si>
    <t>Build your dream home in Wenatchee Heights with a hobby farm, orchard, or land to roam on this 5 acre country setting! Currently planted to Sweetheart &amp; Skeena cherries with potential for future income. Power and domestic water in Gudmundson Road. Irrigation water from Wenatchee Heights Reclamation District. All useable flat acreage that is hard to find. Additional adjoining parcels also listed. Close access to Mission Ridge and only a short ride into Wenatchee! Owner financing available, making your opportunity to own acreage even easier!</t>
  </si>
  <si>
    <t>Robert Shepperd</t>
  </si>
  <si>
    <t>shepperd0718@comcast.net</t>
  </si>
  <si>
    <t>2120 NE Edwin Ct</t>
  </si>
  <si>
    <t>Welcome to Keyport Shores, conveniently located between Keyport and Brownsville. This inviting home sits on an oversized lot and showcases hardwood floors, vaulted ceilings in the living room, and a refreshed kitchen with farm sink, nearly new appliances, ample quartz counters and center island. Upstairs you√¢??ll find the primary suite, two additional bedrooms, and a guest bath. The lower level offers a sitting area, family room, and utility room with half bath. The fully fenced backyard is accessible from both the kitchen and family room, featuring raised garden beds, duck yard and storage shed. Access the community beach via a wooded trail at the end of Edwin Court. All appliances stay.</t>
  </si>
  <si>
    <t>Chong Liu</t>
  </si>
  <si>
    <t>chongliu69@gmail.com</t>
  </si>
  <si>
    <t>1630 104th Ave SE</t>
  </si>
  <si>
    <t>A rare chance to own functional luxury in a 2025 new construction home, thoughtfully designed for multi-generational living near downtown Bellevue. The main level features a sun-filled den, a gourmet kitchen w/quartz counters, Wolf + Sub-Zero appliances, secondary cook√¢??s kitchen, ensuite bedroom, blending elegance w/ practicality. Upstairs, the primary suite offers a spa-inspired 5 piece bath, dual walk-in closets, accompanied by three additional ensuite bedrooms. The lower level provides a fully independent living space w/complete kitchen, bedroom, bath, flex rooms, private laundry, garage with alleyway access. Step outside to a beautifully landscaped, low-maintenance level yard w/automatic gate, providing privacy and sophistication.</t>
  </si>
  <si>
    <t>Carl Villalanti</t>
  </si>
  <si>
    <t>eugene_blackerby@yahoo.com</t>
  </si>
  <si>
    <t>2033 Navy Lane</t>
  </si>
  <si>
    <t>Welcome Home! Updated kitchen appliances, new septic system installed in 2025, oversized garage w perfect shop space in the 3rd bay are ready for you to move right in. This 3 bedroom, 2 bathroom home is a dream - w +/- 1,413 sq ft of living space w vaulted ceilings, plenty of outdoor entertaining space, large covered porch, huge chicken coop w privacy on a dead end street. This updated gem, w shared well, sits on nearly 2.5 acres while still being close to downtown Oak Harbor, NAS Whidbey &amp; West Beach! Dont miss this opportunity to live with some elbow room in Oak Harbor.</t>
  </si>
  <si>
    <t>13154 NE 151st Ct</t>
  </si>
  <si>
    <t>Enjoy life in the coveted Woodinville Wine Country in this special offering by acclaimed William E. Buchan. Just in framing, you will be able to work with the builder to customize this home to your desires. Please visit the model home on lot 1 in Vine Valley to see the standard finishes. This limited edition community is comprised of 17 unique homes beautifully finished with wide plank hardwood flooring, slab quartz counters, a Wolf six burner range, Cafe Smart refrigerator, a heat pump for AC comfort, Cat-6 data lines, covered patio and lushly landscaped and fenced yard. This plan includes a full basement with rec room, full bath and two additional bedrooms plus a hobby room. This is the perfect layout for multigenerational living!</t>
  </si>
  <si>
    <t>Richard Riordan</t>
  </si>
  <si>
    <t>2135 S Sheridan Ave</t>
  </si>
  <si>
    <t>Welcome to 2135 S Sheridan Ave, a beautifully updated 5-bedroom, 2-bath rambler offering comfort and convenience in the heart of Tacoma. Enjoy easy access to I-5, downtown, and nearby amenities. Light and bright featuring an open-concept layout with a spacious living and dining area, large picture windows, and a slider that opens to the fully fenced backyard√¢??perfect for entertaining or relaxing. The kitchen offers white cabinetry, an electric range, refrigerator, disposal, and a window over the sink overlooking the backyard. Down the hall, you√¢??ll find a full bath and four bedrooms√¢??each with new carpet. The primary suite offers its own private bath w/new vanity. Seeking a turn-key rambler ~ This is it!</t>
  </si>
  <si>
    <t>10931 NE 133rd St</t>
  </si>
  <si>
    <t>Kirkland</t>
  </si>
  <si>
    <t>Elite Homes NW has optimized space in these distinctive luxury cottages, leaving no detail overlooked. This highly sought after secluded rear cottage offers privacy tucked back away from the street and a sprawling rear yard area ready for your custom touch. Luxury finishes Aboud, including Belmont cabinets, Bosch Appliances, hand placed trim and stone accents, and quartz countertops. Ascend to the upper level to discover spacious bedrooms all of which offer custom built in closet systems and independently controlled heating and cooling. The sprawling main suite with vaulted ceilings, spacious walk-in closet, complemented by an en-suite bath with marble accents and gorgeous walk-in shower. Welcome home where innovation meets luxury.</t>
  </si>
  <si>
    <t>10443 17 Ave SW</t>
  </si>
  <si>
    <t>Beautifully Renovated 4-Plex in great location. Turnkey Investment Opportunity. A rare combination of strong rental performance, long-term tenants, and modern finishes. Each unit features 2b1b, along with reserved parking for added convenience. The upper units include private decks, while the lower units enjoy patios and generous yard space, giving every resident desirable outdoor living options. Originally built in 1969, effective year built of 1992 and a full modernization completed in 2025. In-unit washer and dryer. Comprehensive interior and exterior upgrades. Corner lot. Strong tenant retention and consistent income stream. Located within walking distance of restaurants, grocery stores, and other neighborhood amenities.</t>
  </si>
  <si>
    <t>K Jin</t>
  </si>
  <si>
    <t>12055 SE May Creek Park Dr</t>
  </si>
  <si>
    <t>The Best Value on the Eastside meets Modern Luxury in Newcastle. This 2017 modern craftsman, located in the heart of Newcastle, offers a rare 6-bedroom floor plan. Recent updates, including fresh paint and carpet, make this home feel brand new. The open-concept design lives larger than its square footage, allowing for endless possibilities. Unwind on your private, covered balcony featuring a stone-wrapped fireplace√¢??your year-round oasis overlooking a peaceful, tree-lined backyard. Centrally located for Bellevue, Seattle, and airport commutes. The I-405 widening project is nearing completion, promising even shorter travel times and long-term equity growth. Complete with a huge 3-car garage, EV charger, and extensive storage racks. Move-in ready√¢??this is the Eastside deal you√¢??ve been waiting for!</t>
  </si>
  <si>
    <t>123125 Undisclosed</t>
  </si>
  <si>
    <t>Turnkey 2,704 SF restaurant space in Bellevue, ideally suited for an Italian or Greek concept. The space features a 9-foot Type I hood, walk-in cooler, and freezer, making it fully equipped for high-volume food service. Current seating capacity is approximately 150 guests. The layout previously included a bar setup, along with separate dining and storage areas, offering excellent operational flexibility for a variety of restaurant concepts. Located in a high-visibility area with ample on-site parking, this well-maintained, owner-operated restaurant presents a strong opportunity for an experienced operator or new concept. Approximately six years remain on the lease with reasonable rental terms, providing stability for long-term operations. Indian cuisine is excluded.</t>
  </si>
  <si>
    <t>Dyken Van</t>
  </si>
  <si>
    <t>673 Monte-Elma Rd</t>
  </si>
  <si>
    <t>Montesano</t>
  </si>
  <si>
    <t>Bring your tool belt and restore this historic farmhouse or replace with your new dream home √¢?? the possibilities are endless. Stunning 5-acre property offering breathtaking views. Value primarily in the land. Enjoy pastures and fruit trees. Great location - easy commute to Aberdeen, Olympia or Shelton.</t>
  </si>
  <si>
    <t>105 NW 39th St</t>
  </si>
  <si>
    <t>SECURE A 2.99% INTEREST RATE* on this exceptional new construction by Mid City, ideally positioned on a premier tree-lined street in the heart of Fremont. Just moments to the Burke-Gilman Trail, Fremont Canal, Sunday Market, top caf√É¬©s, dining, and nearby tech hubs√¢??this is one of Seattle√¢??s most vibrant and connected neighborhoods. Thoughtfully designed with a layout that truly lives well, the home features a designer kitchen with quartz countertops, under-cabinet lighting, and peninsula seating that flows seamlessly into a spacious living area and private deck. The top-floor primary suite offers a serene retreat with a generous bedroom, spa-inspired bath, and its own treetop deck. Two flexible lower-level bedrooms provide ideal space for guests, a home office, or work-from-home setup. EV-READY PARKING INCLUDED, energy-efficient mini-split heating and A/C for year-round comfort. *Terms apply. Built Green!</t>
  </si>
  <si>
    <t>Sarah Kim</t>
  </si>
  <si>
    <t>sarahkkim@gmail.com</t>
  </si>
  <si>
    <t>15826 Meridian Ave S</t>
  </si>
  <si>
    <t>Welcome to this beautiful East facing 4BR/3.5BA Lakeshore Park home in Bothell! Backing to a private greenbelt, this spacious home features granite countertops, hand-scraped hardwood floors &amp; open living spaces. Upstairs, retreat to the luxurious primary suite and 2 additional spacious bedrooms w/ Jack &amp; Jill style bathroom. Third floor has a private 4th bedroom, bathroom and large bonus room. Conveniently close to shopping &amp; community transit. The perfect balance of privacy &amp; accessibility! All appliances included.</t>
  </si>
  <si>
    <t>1313 83rd Ave SE</t>
  </si>
  <si>
    <t>Rare new construction duplex by Arcadia Homes. Each 3-bed unit blends modern design w/everyday comfort. Open-concept layouts feature oversized windows, wide-plank vinyl hardwoods &amp; sleek kitchens w/ white shaker cabinets, quartz countertops, SS appliances, under-cab lighting, &amp; black hardware. Main-level powder baths. Upstairs vaulted Primary Suites w/ large WICs &amp; luxe 5-piece baths w/ dual showers &amp; tub. Dedicated laundry rooms, 2-car garages, A/C, and spacious patios overlooking fully-fenced backyard (fences not yet installed). Prime location near I-9, parks, schools &amp; Costco. Turnkey for immediate income at top dollar.</t>
  </si>
  <si>
    <t>Lily Pan</t>
  </si>
  <si>
    <t>plinilyan@gmail.com</t>
  </si>
  <si>
    <t>9135 NE 19th St</t>
  </si>
  <si>
    <t>Clyde Hill</t>
  </si>
  <si>
    <t>Experience timeless sophistication in this reimagined mid-century masterpiece by Garret Cord Werner, set in the coveted Mercia enclave of Clyde Hill with sweeping views of Lake Washington and DT Seattle. A studs-out renovation fuses iconic design with modern luxury, featuring floor-to-ceiling windows and new engineered hardwood flooring on the main. Private primary wing boasts a fireplace, dual walk-in closets, a spa-inspired 5-piece bath with steam shower, and a private balcony. Additional highlights include a separate office, media room, Miele equipped Kitchen and Control4 whole-home system. Outdoors, enjoy a south-facing backyard with custom modern 17 pool w/waterfall, spa &amp; sport court in lush landscaping. Zoned for Medina Elementary.</t>
  </si>
  <si>
    <t>Nathan Starr</t>
  </si>
  <si>
    <t>starr.nathan@gmail.com</t>
  </si>
  <si>
    <t>2706 S Washington St</t>
  </si>
  <si>
    <t>Warm, spacious, and thoughtfully designed, this 3BR townhome pairs modern style with everyday comfort. The sun-filled kitchen wows with quartz countertops, stainless steel appliances, and an effortless flow into the airy living area - perfect for hosting or unwinding. Upstairs, the primary suite offers a serene retreat, complete with an en-suite bath, built-in vanity, and a generous walk-in custom closet. Start your mornings with views from the rooftop deck, park with ease in your dedicated spot equipped with an EV charger, and step out to vibrant cafes, restaurants, and transit just minutes away.</t>
  </si>
  <si>
    <t>3444 NW 65th St</t>
  </si>
  <si>
    <t>Very unique 6 unit project in one of North Seattles most sought after neighborhoods; Sunset Hill. This stand alone DADU has on the 1st floor: high ceilings; well appointed kitchen with stainless steel appliances &amp; a large breakfast bar; dining area; living room; and a mud room off the garage and the homes entrance. The 2nd floor has an en suite primary bedroom, 2 additional bedrooms with vaulted ceilings and a full bath. Private fenced yard. Private garage with a charging outlet for electric cars. Peekaboo views from primary bedroom of Sound and Olympic Mountains. Near Picolinos, Ray√¢??s, Shilshole, Ballard Locks, Elks, Golden Garden, Sunset Park &amp; much more. Front unit has been sold and is occupied. Ask about the seller paid special interest rate as low as 1.99%.</t>
  </si>
  <si>
    <t>Conrad Schloredt</t>
  </si>
  <si>
    <t>31727 76th Ave NW</t>
  </si>
  <si>
    <t>Stanwood</t>
  </si>
  <si>
    <t>Stunning 5-Acre Lake Ketchum multi-family Home with endless possibilities! Private, level, and fenced acreage featuring two ramblers with elegant kitchens and private suites√¢??one with a jacuzzi tub, the other with a stone outdoor kitchen and patio. Includes a 40√¢??x60√¢?? shop with a bonus room and bathroom and high doors. Enjoy a loafing shed, fruit trees, garden, and custom pond with a waterfall. Over half the property is dry, undeveloped land√¢??ideal for an agricultural building, equestrian estate, hobby farm, home-based business, or new construction. Super quiet yet minutes from I-5 and town. Perfect for multigenerational living, storage, or investment. Rare opportunity with upside income potential!</t>
  </si>
  <si>
    <t>4524 Noel (Lot 93) St</t>
  </si>
  <si>
    <t>Blaine</t>
  </si>
  <si>
    <t>MTTs highly anticipated Grand Opening of Whisper Lake Division II in Birch Bay/Blaine. Great Opportunity for Affordable New Construction home featuring 2064 sq ft plan has 4 Bedrooms 3 baths plus Bonus Room. Great room concept with Island kitchen, stainless appliances, quartz counters with full tile backsplash, walk-in pantry. One bedroom on main with 3/4 bath on main. Large primary bedroom with large bath and walk-in closet. Full forced air heat and A/C. Buyer to choose finishes at Design Center. Great area walking distance to Birch Bay with restaurants and shopping. Great recreation areas are close, marinas, world class crabbing, fishing, boating, fantastic golf, hiking, beach combing are w/in minutes. Home to be complete end of March, take advantage of pre-sale pricing.</t>
  </si>
  <si>
    <t>4528 Noel (Lot 95) St</t>
  </si>
  <si>
    <t>MTTs highly anticipated Grand Opening of Whisper Lake Division II in Birch Bay/Blaine. Great Opportunity for Affordable New Construction home featuring 2064 sq ft plan has 4 Bedrooms 3 baths plus Bonus Room. Great room concept with Island kitchen, stainless appliances, quartz counters with full tile backsplash, walk-in pantry. One bedroom on main with 3/4 bath on main. Large primary bedroom with large bath and walk-in closet. Full forced air heat and A/C. Great area walking distance to Birch Bay with restaurants and shopping. Great recreation areas are close, marinas, world class crabbing, fishing, boating, fantastic golf, hiking, beach combing are w/in minutes. Home to be complete end of February, take advantage of pre-sale pricing.</t>
  </si>
  <si>
    <t>4523 Merlot (Lot 101) St</t>
  </si>
  <si>
    <t>MTTs highly anticipated Grand Opening of Whisper Lake Division II in Birch Bay/Blaine. Great Opportunity for Affordable New Construction home featuring 2064 sq ft plan has 4 Bedrooms 3 baths plus Bonus Room. Great room concept with Island kitchen, stainless appliances, quartz counters with full tile backsplash, walk-in pantry. One bedroom on main with 3/4 bath on main. Large primary bedroom with large bath and walk-in closet. Full forced air heat and A/C. Great area walking distance to Birch Bay with restaurants and shopping. Great recreation areas are close, marinas, world class crabbing, fishing, boating, fantastic golf, hiking, beach combing are w/in minutes. Home to be complete end of January, take advantage of pre-sale pricing.</t>
  </si>
  <si>
    <t>4521 Merlot (Lot 102) St</t>
  </si>
  <si>
    <t>4522 Noel (Lot 92) St</t>
  </si>
  <si>
    <t>MTTs highly anticipated Grand Opening of Whisper Lake Division II in Birch Bay/Blaine. Great Opportunity for Affordable New Construction home featuring 2154 sq ft plan has 4 Bedrooms, plus office, 3 baths plus Bonus Room. Great room concept with Island kitchen, stainless appliances, quartz counters with full tile backsplash, walk-in pantry. One bedroom on main with 3/4 bath on main. Large primary bedroom with large bath and walk-in closet. Full forced air heat and A/C. Buyer to choose finishes at the Design Center. Great area walking distance to Birch Bay with restaurants and shopping. Great recreation areas are close, marinas, world class crabbing, fishing, boating, fantastic golf, hiking, beach combing are w/in minutes. Take advantage of pre-sale pricing.</t>
  </si>
  <si>
    <t>4520 Noel (Lot 91) St</t>
  </si>
  <si>
    <t>MTTs highly anticipated Grand Opening of Whisper Lake Division II in Birch Bay/Blaine. Great Opportunity for Affordable New Construction home featuring 2154 sq ft plan has 4 Bedrooms, plus office, 3 baths plus Bonus Room. Great room concept with Island kitchen, stainless appliances, quartz counters with full tile backsplash, walk-in pantry. One bedroom on main with 3/4 bath on main. Large primary bedroom with large bath and walk-in closet. Full forced air heat and A/C. Buyer to choose finishes at the Design Center. Great area walking distance to Birch Bay with restaurants and shopping. Great recreation areas are close, marinas, world class crabbing, fishing, boating, fantastic golf, hiking, beach combing are w/in minutes. Take advantage of pre-sale pricing. Home is under construction and will be finished early April.</t>
  </si>
  <si>
    <t>4526 Noel (Lot 94) St</t>
  </si>
  <si>
    <t>4515 Merlot (Lot 105) St</t>
  </si>
  <si>
    <t>MTTs highly anticipated Grand Opening of Whisper Lake Division II in Birch Bay/Blaine. Great Opportunity for Affordable New Construction home featuring 2319 sq ft plan has 5 Bedrooms, 3 baths plus Bonus Room. Great room concept with Island kitchen, stainless appliances, quartz counters with full tile backsplash, walk-in pantry. One bedroom on main with 3/4 bath on main. Large primary bedroom with large bath and walk-in closet. Full forced air heat and A/C. Buyer to choose finishes at Design Center. Covered back patio Great area walking distance to Birch Bay with restaurants and shopping. Great recreation areas are close, marinas, world class crabbing, fishing, boating, fantastic golf, hiking, beach combing are w/in minutes. Take advantage of pre-sale pricing.</t>
  </si>
  <si>
    <t>Abha Aggarwal</t>
  </si>
  <si>
    <t>NEHA2612@GMAIL.COM</t>
  </si>
  <si>
    <t>22592 Ne 96th St</t>
  </si>
  <si>
    <t>Dont miss this gorgeous home in the highly sought-after Redmond Ridge community! This extensively remodeled 2,510 sq ft home with new bathrooms and kitchen sits on a cozy lot, ideally positioned into a cul de sac styled street.. A charming covered porch welcomes you into a thoughtfully designed layout, featuring a home office section just off the entry perfect for remote work. The expansive living area leads to the sunlit family room, dining area, and a gourmet chefs kitchen with SS appliances, all overlooking a fully fenced backyard and deck perfect for entertaining. Most of the house has darker hardwood and new carpet. Upstairs, the large master offers a spa-like 5-piece master bath with a soaking tub, dual vanities, and a large WIC. The spacious loft is ideal as a media lounge or play area. The two other bedrooms and a second bathroom complete the upper level. Enjoy recent upgrades including fresh interior paint, new baseboards, and a new furnace. Pre-inspected and move-in ready, this turnkey home is steps away from scenic parks, trails, and located within the top-rated LWSD. A truly a must-see home!</t>
  </si>
  <si>
    <t>min Xiang</t>
  </si>
  <si>
    <t>milliex@bestallied.com</t>
  </si>
  <si>
    <t>5300 153rd Ave Se</t>
  </si>
  <si>
    <t>Stunning Horizon View Residence with Breathtaking Scenery, Open house Jan 28th 1:30- 3:00pm Discover the epitome of luxury living in this newly renovated and architecturally designed home atop Horizon View. Offering a seamless blend of modern aesthetics and panoramic views, this residence is a sanctuary of elegance and comfort. Contemporary Design and Premium Finishes: Recently renovated with a brand-new ADU (Accessory Dwelling Unit). State-of-the-art appliances and eco-friendly bamboo flooring. A see-through fireplace and an open layout create a welcoming atmosphere. Spectacular Views: Perched on the summit of Horizon View, enjoy breathtaking vistas of Seattle's skyline, Washington Lake, Union Lake, Olympia Mountains, and Bellevue City. Scenic landscapes of lakes, mountains, and city lights right from the comfort of your home. Detached ADU with Panoramic Views: An expansive 800 sq ft detached ADU with its kitchen, bathroom, and balcony. Perfect for individuals with a home studio, remote workers, or parents seeking a separate space for adult children. Spacious Garages and Driveway: Three large garages and an extensive driveway for additional parking. Convenience and ample space for your vehicles. Chef's Kitchen and Scenic Bedrooms: Chef's kitchen with top-notch appliances, an oversized island, and marble countertops. Wake up to breathtaking views from the comfort of your bedroom. Top-Rated Bellevue Schools: Newport High School, Tillicum Middle School, and Eastgate Elementary School. This exceptional residence offers a lifestyle of sophistication and convenience. Whether you're captivated by the modern interior, the expansive views, or the practical amenities, this home is designed to elevate your living experience. Big dogs are not allowed. Tenant responds to Utilities, Maintains yard</t>
  </si>
  <si>
    <t>Xiaoyan Yang</t>
  </si>
  <si>
    <t>yangzi198211@gmail.com</t>
  </si>
  <si>
    <t>9110 65th Street Ct W</t>
  </si>
  <si>
    <t>University Place</t>
  </si>
  <si>
    <t>Meticulously maintained UP home near Chambers Bay golf &amp; paths. Gated cul-de-sac enclave. The great room layout emphasizes a sense of openness. Vaulted ceilings and skylights provide relaxing daylight. Kitchen is remodeled with quartz counters, stainless appliances and LED lighting. It opens to the family room with gas fireplace. Primary bedroom is on the main floor with private bath &amp; walk-in closet. Also on the main; formal living room &amp; home office. Three beds upstairs plus a desk workspace in the landing and a bonus room. Many ways to use all of the spaces here! New 50-year roof in 2016. New heat pump (A/C) &amp; gas furnace in 2019. New composite deck in 2021. Hardwoods were just refinished! Wired for generator and car charger! All carpet in the pictures will be replaced by vinyl flooring. Renters is responsible for the gas, electric, and water. Last month's rent due at signing. No smoking allowed. Cats allowed.</t>
  </si>
  <si>
    <t>Earl Boysen</t>
  </si>
  <si>
    <t>earlboysen@gmail.com</t>
  </si>
  <si>
    <t>1921 31st St</t>
  </si>
  <si>
    <t>Freshly painted cute cottage in wooded area. The house is a few minutes drive from downtown Port Townsend. One bedroom, one bath (shower). A washer/dryer combo is included. Full kitchen includes fridge, stove, and microwave. There is a small back yard overlooked by a back porch. Close to walking trails. Off street parking for one car provided. Landlord pays electricity, water, and trash; tenant responsible for Internet connection. 6 month minimum lease. Owner pays for electricity, water, and trash collection. Tenant responsible for Internet connection. NO SMOKERS. Off street parking for one car.</t>
  </si>
  <si>
    <t>Kim .</t>
  </si>
  <si>
    <t>624 99th Street East</t>
  </si>
  <si>
    <t>4 bed 3 bath 2024 sf Midland townhome, $2800/month 624 99th St E, Tacoma WA 98445 Come live in a quiet, clean, well maintained newer building with private patio, garage, and laundry. Part of a small, secluded townhouse-style community of only 4 units, 624 is a highly desirable end unit. Stylish, newer LVP flooring throughout main floor (shown in first interior photo, but older flooring that has been replaced is shown in most of the photos). Includes a master suite with full bath and separate shower, plus one additional bedroom and full bath on the main floor. 2 additional bedrooms and one 3/4 bath upstairs. Lots of storage space throughout. Complete with newer washer &amp; dryer, private back patio, and ample parking/storage in the private 2 car garage and outside in the private offstreet parking lot. The complex is set back from the main road, providing a peaceful and secure environment for you and your family. Great Midland location close to schools, dining, shopping and military bases, with easy freeway access for commuters. Must have income 2.7 times the monthly rent, credit score above 650, and no prior evictions. Rent: $2800/mo plus $100/mo water/sewer fee. Tenant pays electric and garbage. Deposit: $2900. Pets: inquire. Available: March 1, 2026.</t>
  </si>
  <si>
    <t>Haley Beach</t>
  </si>
  <si>
    <t>haleybeach@gmail.com</t>
  </si>
  <si>
    <t>3309 S Juneau St</t>
  </si>
  <si>
    <t>Updated townhome in quiet cul-de-sac neighborhood close to light rail. Two spacious bedrooms, generous main bathroom, and convenient half bath on the first floor. The home has a small front and backyard with low maintenance turf. One off street parking spot is included and directly behind the townhouse. The kitchen was updated a few years ago and there is an in-unit washer and dryer. The home has lots of storage. It is in a quiet and friendly neighborhood. It is a 12 minute walk to the Columbia City light rail, perfect for commuting downtown, getting to UW, and attending sporting events and concerts. It's a quick walk to the Chief Sealth trail and several parks are also close by. Renter is responsible for all utilities (electricity, water/sewer, garbage, internet). * Move-in costs: 1st month's rent, security deposit, Last month's rent *12-month lease, though a 6-month lease will be considered * Tenant responsible for all utilities including electricity, water, sewer, garbage &amp; internet. *Tenant responsible for maintaining exterior of home. *Must obtain and maintain Renter's Insurance during tenancy *Pets are allowed but will be approved on a case-by-case basis *$500 pet security deposit. Absolutely no smoking or vaping of any kind on the premises. No illegal drugs. Approval Criteria: Employment verification, credit check, and rental history check required for applicants. 680+ credit score &amp; 2.25:1 Income to rent required. Applications accepted through Zillow only. A fully completed application includes viewing the property and filling out the online application on Zillow, paying the tenant screening fee, complete and final landlord references, employment and income verification, and/or pet references have been received. Applicants must arrive on time and view the property with the housing provider. Rental History: 24 months valid, verifiable favorable rental history. Valid rental history is a written lease or month-to-month agreement. If past or present landlord(s) do not respond to requests for information within 48 hours of being contacted, that may result in denial due to unavailability of verifiable favorable rental history. Unverifiable employment or income source may result in a denial. Income: Monthly verifiable income must be equal to at least 3 times the monthly rental amount. Acceptable documentation for verifiable income varies based on the income source. Generally accepted documentation may include 3 month's worth of consecutive (recent) paystubs, most recent tax returns, W2, Leaves Earnings Statement (LES), Statement of Social Security Benefits, housing vouchers, I20 (International Students), etc. Section 8 Application Criteria: Will be made following the above standards. EMPLOYMENT: 24 months with current employer or previous employment in same field of work. Photo ID: Valid government issued photo identification will be required of all applicants.</t>
  </si>
  <si>
    <t>Yunjung Baek</t>
  </si>
  <si>
    <t>10108 Ne 68th St Apt 4</t>
  </si>
  <si>
    <t>Rare Rental Opportunity Across from the Lake! Imagine waking up each day just steps away from sparkling lake views and endless outdoor fun. This 2-bedroom, 1-bathroom home, with two parking spots, offers the perfect balance of peaceful living and vibrant community energy. Unbeatable Location Directly across the street from the lake launch your kayak, paddle board, or jump in for a swim! Huge, dog-friendly park just outside your door for picnics, gatherings, or morning walks. Only a 10-minute walk to the lively downtown area filled with top-rated restaurants, cozy cafes, craft breweries, and charming bakeries. Community Vibes Seasonal parades and fun local events along Main Street just a short stroll away. Farmers' markets, boutique shops, and groceries all within walking distance. Safe, quiet neighborhood perfect for relaxing at home after a day of adventure. This property offers the rare chance to live where others vacation. Whether you're sipping coffee at a nearby cafe, paddle boarding on the lake, or enjoying an evening out downtown, everything you need is just minutes away. WSG included. Electricity, Internet not included. Don't miss this opportunity homes like this hardly ever come up for rent! WSG included. Electricity, Internet not included. 2 Parking spots available, included in the rent.</t>
  </si>
  <si>
    <t>1834 South Weller Street #b</t>
  </si>
  <si>
    <t>Half of duplex for rent in Jackson Place neighborhood. Close to downtown, I 90, I 5 but in a quiet community. Fully fenced yard, in unit W/D, off street parking for 1-2 cars depending on size. Cats ok, dogs depending on size and temperament, additional refundable deposit for all pets. Tenant responsible for electricity in their name, water, sewer, garbage is split with other unit. Average $110/ mo. Security deposit = 1 months rent plus any applicable pet deposit. Screening mostly concerned with verifiable employment/ income (pay stubs, tax returns), as well as satisfactory references from previous landlord(s) Contact for tour</t>
  </si>
  <si>
    <t>Daniel Sammons</t>
  </si>
  <si>
    <t>3517 205th Drive Southeast #b</t>
  </si>
  <si>
    <t>Description: Embrace peaceful country living in this updated ADU set on a stunning 5-acre lot in Snohomish County. The interior features fresh paint and new, modern flooring throughout the bedroom and bathroom, offering a clean, cozy, and move-in-ready space. Enjoy total privacy with plenty of room to play or relax. This property is pet-friendly and welcomes up to 2 horses (additional fees apply). All animals to be screened during showing (just want to make sure its a good fit) Convenient Location: Situated in a prime spot just 10 minutes from downtown Snohomish, Monroe, Lake Stevens, and Granite Falls. Quick access to Hwy 9 and Hwy 2. Owners live on the propery. Applications go through Zillow. Required to bring latest pay stub as well as 6 month prior stub. It is Month to Month Required to set up PUD account and internet (if want internet)</t>
  </si>
  <si>
    <t>Robert Hearon</t>
  </si>
  <si>
    <t>robert.hearon1@us.army.mil</t>
  </si>
  <si>
    <t>2832 Chambers Bay Dr</t>
  </si>
  <si>
    <t>Steilacoom</t>
  </si>
  <si>
    <t>Sit in awe as you gaze at the most amazing sunsets over the Olympic Mountains and Puget Sound - right from your living room, kitchen or deck. This 3 bed 2 bath rambler has been completely updated with modern finishes throughout. It is pleasantly nestled in the quiet and highly desirable Chambers Bay II neighborhood which is just around the corner from the Historical town of Steilacoom and the prestigious Chambers Bay Golf Course (home of the 2015 U.S. Open). The custom kitchen features granite countertops, shaker cabinets, custom lighting, w/skylight, and stainless-steel appliances. The master bedroom includes a walk in 5-piece master bath with w/skylight and jetted tub. Beautifully stained hardwood floors fill the main living area leading from the entry to the spacious living room which features large bay windows, vaulted ceilings, a gas F/P, custom built-ins, and French doors leading to the deck. The formal dining room could also serve as a study or family room. The elevated lot is filled with the charm of lush landscaping, rock walls, and outdoor lighting. The large deck and back patio are ideal for entertaining guests or for getting away to your own private retreat as you view soaring eagles, large boats, and magnificent sunsets. The attached 2 car garage has abundant storage capacity and parking. Walking trails are steps from your front door and lead you to Sunnyside Beach Park or downtown Steilacoom. This ideal location is perfect for commuting to either Seattle or Olympia and is only a short and relaxing drive to JBLM. Owner is responsible for all HOA dues and lawn maintenance. Tenant is responsible for all utility costs. This is a non-smoking property. Lease Term: 1 year</t>
  </si>
  <si>
    <t>1783-1787 Northeast State Highway 308 #7</t>
  </si>
  <si>
    <t>null</t>
  </si>
  <si>
    <t>Jayasri Ghosh</t>
  </si>
  <si>
    <t>7804 22nd Street Court West #7804</t>
  </si>
  <si>
    <t>This is a quiet neighborhood off the main street with a big back yard. The renter is responsible for first and last months rent and a $800 deposit, $200 of which is a non- refundable cleaning fee. The rent is $1900/ month. The renter is responsible for utilities and a $70 University Place sewer charge. No smoking and no pets. References and proof of income required and has been painted and freshly carpeted. The apartment is available right away. This is a quiet neighborhood off the main street with a big back yard. The renter is responsible for first and last months rent and a $800 deposit, $200 of which is a non- refundable cleaning fee. The rent is $1900/ month. The renter is responsible for utilities and a $70 University Place sewer charge. No smoking and no pets. References and proof of income required and has been painted and freshly carpeted. The apartment is available right away.</t>
  </si>
  <si>
    <t>Sudhir Kodali</t>
  </si>
  <si>
    <t>skodali@live.com</t>
  </si>
  <si>
    <t>3483 Ne Meadow Way</t>
  </si>
  <si>
    <t>Exceptional Burnstead home in Magnolia Park, ideally situated on a corner lot. This spacious residence offers 4 bedrooms and 3 bathrooms, including a main-floor bedroom with a bath, perfect for guests or a home office. Upstairs features three additional bedrooms, a loft, and two full baths. The main level showcases beautiful birch hardwood floors, a soaring entry ceiling, and a vaulted great room filled with natural light. Enjoy year-round comfort with central A/C and surround sound speakers throughout the home. Outdoor living shines with an extended patio, fully fenced and professionally landscaped yard, arborvitae for added privacy, and a sprinkler system. Additional features include an attached two-car garage and close proximity to neighborhood parks. Tenant is responsible for all utilities including Highlands Fiber Network. Smalls pets allowed with a pet deposit. No smoking. 1 year lease or more, first month's rent and security deposit due at lease signing. Application fee $45 per adult.</t>
  </si>
  <si>
    <t>Benjamin Wulfe</t>
  </si>
  <si>
    <t>sriben2010@hotmail.com</t>
  </si>
  <si>
    <t>9350 Redmond Woodinville Rd Ne # B112</t>
  </si>
  <si>
    <t>Bright and spacious ground floor condo with 2 bedrooms, 1.5-bathroom condo available for rent. Features updated kitchen with quartz counters and stainless appliances, updated bathrooms. Sliding door to patio and closet for extra storage. Full size washer/dryer in unit. GREAT location within minutes to downtown Redmond for shopping &amp; entertainment and close to Sammamish River trail. Seconds away from Hwy 202, providing a direct shot to Microsoft, Google, and the new Light Rail station. Located within the award-winning Lake Washington School District. Water, sewer and garbage included in rent. Tenant pays electric. No smoking. Pets (cats) considered on a case by case basis per hoa. One reserved covered parking spot &amp; plenty of additional overflow parking. Availability: 03/01/2026. Possibly available sooner, please contact with date Owner is a licensed real estate broker in WA state. Water/Sewer/Garbage included in rent. Tenant responsible for Electric. Pets considered on a case-by-case basis with additional deposit/rent. Dogs not allowed per hoa.</t>
  </si>
  <si>
    <t>Jenn .</t>
  </si>
  <si>
    <t>3312 Wetmore Avenue Apt 2</t>
  </si>
  <si>
    <t>Unit 2 is a 1 bedroom / 1 bath on the second floor in the rear of the building in a quiet historic Port Gardner neighborhood of Everett. Rent is $1,300 per month, which includes water, sewage, and garbage. Street parking in front of the building. Tenant pays for electricity/heat, cable, internet, etc. There is a shared coin-operated washer and dryer onsite in the basement. Refundable security deposit of $1,300 is required. Good Credit required. Good rental history and employment required. Must be able to pass a criminal background check. No pets. Centrally located - Naval Base, Port of Everett, Court and Municipal Buildings, Providence Med. Center, Stadium and Sports Arenas, University and colleges, and commuting. 12-month lease</t>
  </si>
  <si>
    <t>Jaklin Najafi</t>
  </si>
  <si>
    <t>20446 Corbridge Rd Se</t>
  </si>
  <si>
    <t>Monroe</t>
  </si>
  <si>
    <t>Beautiful 3-bedroom home in Monroe, WA sitting on 6,000 SF of lot size. This home has been newly renovated with new hardwood floors, carpets, and modern updates to kitchen and bathrooms. This house has large windows all throughout providing plenty of natural lighting to flow in! Great sized backyard that will allow for gardening and enjoy outdoor activities with the family or invite friends over for a BBQ. Absolutely beautiful community and great location that has plenty of shopping close by and just a quick drive away from Stevens Pass! 2 car garage, SS Appliances, 3 bed/3bath, Heating + AC, Washer + Dryer, Gas Fireplace, High Speed Internet (included in rent) Renter is responsible for all housing utilities (gas, water, electric). Owner will provide high speed internet free of additional charge. Smoking is ONLY permitted outdoors. Renter will provide first and last months rent at signing along with a refundable security deposit. All pets are welcome.</t>
  </si>
  <si>
    <t>Roxanne Navrides</t>
  </si>
  <si>
    <t>2832 W Mercer Way</t>
  </si>
  <si>
    <t>MERCER ISLAND IS A GREAT PLACE TO LIVE! In a quiet residential area! LOTS OF SPACE ONE BEDROOM PLUS A DEN OR OFFICE Entry room, living room, bedroom, office/den, kitchen, bathroom Ground floor WHY CHOOSE THIS APARTMENT? Good value in an exceptional neighborhood Free parking Attentive maintenance Quiet residential area No noise, No smoking Cat welcome (if spayed or neutered) Responsive management (friendly owner lives above) GREAT LOCATION North end of Mercer Island One mile from the Park &amp; Ride Amazon shuttle picks up directly across the street mile south of the entrance to I-90 at West Mercer than 5 miles from downtown Seattle and Bellevue TERMS One year lease on approval of screening Screening requirements: good credit, good rental history, income 3 times the rent Monthly rent $1750, Deposit $1750, One-time screening fee $40 High speed internet, gas, electricity, water, sewer, garbage, and yard maintenance are all covered by one monthly fee of $200 Leasing agent only accepts application provided after a tour of the property IF YOU WOULD LIKE TO SCHEDULE A TOUR please call or send an email or text message to Darrell One year lease on approval of screening. Monthly rent $1750. $1750 deposit. One-time screening fee of $40. All utilities and amenities (high speed internet, gas, electricity, water, sewer, garbage) are covered by one monthly fee of $175. No smoking. Cat welcome (if spayed or neutered). Screening requirements: good credit, good rental history, income 3 times the rent. Leasing agent only accepts application provided after a tour of the property.</t>
  </si>
  <si>
    <t>Alfred Roschmann</t>
  </si>
  <si>
    <t>nikilizij@gmail.com</t>
  </si>
  <si>
    <t>1300 Digby Pl</t>
  </si>
  <si>
    <t>Mount Vernon</t>
  </si>
  <si>
    <t>This luxurious and modern townhome features high-end contemporary finishes and offers breathtaking views of the valley from its two decks. Built in 2020, this exquisite home boasts three bedrooms, two and a half bathrooms, quartz countertops, a heat pump with air conditioning, and various other upgrades. The vast garage provides ample storage space, and the HOA is responsible for groundskeeping, making life here easy and hassle-free. The location is ideal, just four minutes from the hospital and in close proximity to downtown Mount Vernon, offering the perfect blend of luxury and convenience. The pictures shown here are from the original listing in 2021. Owner pays for HOA. Renter is responsible for internet, water, garbage and electric. Security deposit and last months rent due at signing. First months rent prior to move in. No smoking allowed. Pets allowed with additional deposit. Outdoor landscaping maintained by HOA. In garage parking.</t>
  </si>
  <si>
    <t>Ross .</t>
  </si>
  <si>
    <t>304 10th Street #3</t>
  </si>
  <si>
    <t>Top unit apartment with spacious 2 bed and 2 bathroom in the heart of downtown Kirkland. Bright &amp; inviting, this unit includes a cozy fireplace &amp; large windows with natural light. Additional perks include an in-unit washer/dryer, garage parking, private balcony, &amp; 125 sqft secure storage delivering both comfort and convenience for tenants. Amazing location walk to Lake Washington waterfront, parks, shops, restaurants, and downtown Kirkland. Quick access to I-405 for easy commuting. Minutes to Google, Microsoft, Amazon, and Bellevue/Redmond business hubs. Easy transit and freeway access. Top-rated Lake Washington schools nearby. Photos used are from a different unit in the complex and give an example of the layout. Tenant must have excellent credit (720+ Credit Score), rental and payment history, proof of monthly income 3x rent. Non-smoking. 1 year lease - contact for other options. First month's rent + security deposit (and other deposit/fees as needed) due at signing of the lease. Tenant shall be responsible for establishing and maintaining Puget Sound Energy(Electricity) in Tenant's name and paying all charges directly to the utility provider. Tenant shall also be responsible for payment of water, sewer, and garbage services, which are billed monthly and payable by Tenant. Convenient 1 car garage parking included with additional parking available for rent. Secure storage included in garage. Small house trained pets subject to restriction w/pet interview and additional deposit and/or rent. Ask Landlord for other terms. Apply via Zillow. Note: Please respect privacy and do not disturb current tenants. Thank you</t>
  </si>
  <si>
    <t>Nahum Gefkovicz</t>
  </si>
  <si>
    <t>2442 3rd Avenue East #b-2</t>
  </si>
  <si>
    <t>Pt Orchard</t>
  </si>
  <si>
    <t>The garage is 750 sq ft includes work bench and is attached The unit is one of three in building. Exterior is freshly painted. Renter responsible for Gas and Electric Last month rent negotiable No smoking in unit call for viewing appointments</t>
  </si>
  <si>
    <t>Xiaoyu Ye</t>
  </si>
  <si>
    <t>jamesgign@hotmail.com</t>
  </si>
  <si>
    <t>26138 242nd Ct Se</t>
  </si>
  <si>
    <t>*Open House* *February 5th (Thursday) 9AM - 4PM* *February 7th (Saturday) 9AM - 4PM* Nestled at the back of a quiet cul-de-sac in the highly sought-after Tahoma School District, this spacious 2,660 sq. ft. home offers 5 bedrooms and 2.5 bathrooms and sits directly next to a community park an ideal setting for families. The expansive primary suite features a walk-in closet, while three additional bedrooms and a large bonus room upstairs provide flexible space for kids, a home office, or a playroom. The open-concept kitchen is equipped with stainless steel appliances and flows seamlessly into the dining and living areas, perfect for family gatherings and everyday living. A cozy gas fireplace adds warmth and comfort during cooler months. A charming pet retreat under the stairs makes this home especially welcoming for dog lovers. The home has been freshly updated with new flooring throughout and a full interior repaint, offering a clean, modern, and low-maintenance living environment. Step outside to a private back deck wired for a hot tub, ideal for relaxing evenings. Tucked away at the back of the community, the home offers exceptional privacy with no highway noise, yet remains within walking distance to shopping and restaurants. An oversized driveway provides ample parking, making daily life easy and convenient. Renter is responsible for the utility. Pet allowed.</t>
  </si>
  <si>
    <t>Shane Mcgrady</t>
  </si>
  <si>
    <t>llcsnsproperties@gmail.com</t>
  </si>
  <si>
    <t>818 E 60th St</t>
  </si>
  <si>
    <t>Beautiful Tacoma Home built in 2021! Custom designed 4 bedroom and 3 full bath home, 1900 sq ft. and features all the bells and whistles including AC, hardwood floors, modern fixtures, energy-efficient appliances, smart home capacity and so much more. Unit available February 15, 2026. Great rental for a family and/or multi-generational living with a main floor master bedroom. House is not furnished, and does not include furniture in photos. Property located off East 60th Street. All tours must be scheduled in advance. Please do not visit property without an appointment, active security cameras on site. Property Details: Main floor includes a master bedroom and a full guest bath. Second floor boasts principal en-suite plus additional 2 bedrooms and full guest bath plus 2nd living loft/bonus room and a washer/dryer closet equipped with full size washer and dryer. Home is equipped with smart thermostat for heating and air conditioning along with double pain storm windows. Features include: Open living room space with lots of natural lighting, dining area, and gorgeous kitchen with quartz countertops; stainless-steel appliances; farmhouse stainless steel sink; and under cabinet lighting. A mud room/flex space on main floor at back entrance with additional washer/dryer hookup option. Incredible views of Mt. Rainier from second floor. Large oversized deep closets with closet systems &amp; lighting; double sinks in bathrooms along with large oversized bathtubs; and beautiful hardware and light fixtures throughout. Custom window treatments for all windows. Parking includes off-street parking in front of home. Tall 2-car detached garage behind home accessed from alley, is 670 sq ft, plenty of space for 2 cars and additional storage, comes with existing workbench area/potential shop. Easy freeway access, close to transit, shopping and schools! Rent for home is $3500.00/month plus tenants responsible for all utilities. Yard maintenance and pest control is maintained by landlord and included as part of rent. Private landlord, no property management companies. First, Last and Security Deposit required. Credit, background, and rental checks required. Full screening criteria provided at inquiry. 700 min credit score. No pets. No smoking. 3 vehicle limit. MOVE IN COSTS/REQUIREMENTS First month's rent plus utilities = $3500 + utilities paid directly to TPU by tenant Last month's rent = $3500 Security deposit = $2500 *Move in costs can be spread out in 6 equal payments with no additional fees, landlord must approve payment plan. This property abides by all state and local rental laws. SCREENING CRITERIA: SNS Properties LLC operates in accordance with the Federal Fair Housing Act, as well as all state and local fair housing and civil rights laws. We do not discriminate against any person based on race, color, religion, gender, national origin, age, sex, familial status, handicap, disability, veteran status, or any other basis protected by applicable state or local laws. The Rental Screening Criteria below outlines standards that may be required to be approved for residency. INSTRUCTIONS TO APPLY CHECKLIST AND CONDITIONS REQUIRED FOR APPLICATION: Reply to this listing Rental application, each person 18 and older who will be residing in the home must submit an application. Application filled out completely and truthfully. Previous landlord references Employment verification Pay stub, two most recent. Verification of income such as check stub for the past two pay periods, SSI / disability papers, child support papers, etc. If self-employed, provide last year's tax returns and 3 months of current bank statements. Credit report Background check ID, copy of current state or government identification. See Alternate ID list if needed. Landlord will not accept reusable tenant screening report provided by applicant In-person viewing $39 non-refundable screening fee paid for each applicant 18 years and older, paid directly to screening service via link from landlord. *Landlord will review completed applications in the order they are submitted, incomplete applications will not be considered until complete. **If applicant becomes non-responsive during application process, landlord will move on to the next applicant after 48 hours of non-response. All listings note date of unit availability, landlord reserves the right to deny applicant due to their move-in date. COSIGNERS: If you do not meet one or more of the above criteria, you may be able to qualify for a rental unit if you have a third party located within the state that will guarantee your lease. The guarantor must fill out an application, pass the screening process and have income and debt to income ratio sufficient to cover their expense and yours in event of default. More detailed screening criteria details provided in writing at time of inquiry. Please note, landlord will not accept reusable screening reports.</t>
  </si>
  <si>
    <t>Michelle Oh</t>
  </si>
  <si>
    <t>1230 Confluence Way Southeast #303</t>
  </si>
  <si>
    <t>North Bend</t>
  </si>
  <si>
    <t>Highly desirable, brand new, top floor, with unobstructed MT SI Views. Community is nestled at the base of majestic MT Si, all with a 1 car garage &amp; 2nd assigned stall or apron. 9ft ceilings, large windows, slab countertops, stainless GE appliances, luxury vinyl plank floors, &amp; efficient ductless Mini split heat pump system. Rivercrest will have use of adjacent Dalgren Family Park, including 2 play areas, picnic shelter, pickleball court, volleyball area, as well as easy access to the 32-mile Snoqualmie Valley Trail system, Tanner Landing Park &amp; the Sno River all minutes to downtown North Bend. Contemporary and open floor plan, maximizing space, large windows that showcase the stunning views of the surrounding mountains. Both bedrooms are strategically separated for maximum privacy. The kitchen boasts stainless steel appliances and ample counter space, large refrigerator, open layout seamlessly integrates the kitchen, living, and dining areas, providing a sense of spaciousness throughout WSG included in rent, minimum 12 months Pets allowed with deposit, $50/month 12 month minimum term</t>
  </si>
  <si>
    <t>Shevaani Sen</t>
  </si>
  <si>
    <t>28803 46th Place South #1</t>
  </si>
  <si>
    <t>$2700 / 3br - Beautiful upstairs unit available - 3bed/1.0 bath - $2700 (Federal Way/Auburn) Beautiful upstairs of split-level house available for rent. Separate entrance. Three bedrooms and one full bath. Open space concept for kitchen, dining and living area. Full access to the beautiful big backyard. ALL utilities included. One driveway parking + safe street parking. Located in the Federal Way/Auburn, Washington area. Close to hospitals, Trader Joes, bus stops and trains, schools etc. $2700/month. This property at 28803 46th Pl S features 3 bedrooms and 1.0 bathroom, offering about ~1700 square feet of living space. The living room includes a fireplace, providing a cozy atmosphere for relaxation. The kitchen is equipped with essential appliances including a new refrigerator. A new washer and dryer are also included for convenience. Large bedrooms and living space offer ample space for furnishings and personal items. The bathroom is recently updated with modern amenities. The interior has been updated with fresh paint and modern light fixtures. The exterior of the property is well-maintained with a huge backyard, with plenty of space for playing and relaxing. This smoke-free property is available for rent at a competitive price. Ideal for individuals or couples seeking a comfortable living space. Contact us for more details or to schedule a viewing. *PLEASE CALL OR TEXT FOR VIEWING in addition to making an appointment on here* - No smoking allowed - No excessive drinking or partying allowed - No overnight guests allowed for longer than five (5) nights without written permission - No recreational drugs allowed - No loud music allowed - No subletting allowed - Will do a background check (criminal included) - 12 months lease term - Owner reserves the right to disqualify applicants</t>
  </si>
  <si>
    <t>Jason Rundell</t>
  </si>
  <si>
    <t>j.rundell@comcast.net</t>
  </si>
  <si>
    <t>3901 12th Street Southwest Unit A</t>
  </si>
  <si>
    <t>Amazing 2 bedroom, 1 bathroom townhouse in Puyallup. Amenities included: hardwood floors, storage, washer dryer, and yard. Utilities included: water. Is pet friendly. Date Available: Feb 1st 2026. $1,900/month rent. $1,900 security deposit required. Owner pays water and garbage, tenant is responsible for all other utilities. New screening report required with credit, background and eviction reports. No smoking allowed inside of units.</t>
  </si>
  <si>
    <t>Wesley Cogdal</t>
  </si>
  <si>
    <t>jennysmith9999@gmail.com</t>
  </si>
  <si>
    <t>1305 Foreman Rd</t>
  </si>
  <si>
    <t>Dupont</t>
  </si>
  <si>
    <t>Spacious 3,162 sq. ft. home in desirable DuPont! Featuring 5 bedrooms including a main floor bedroom, 2.5 baths, and a flexible floor plan with two upstairs family rooms√¢??perfect for work, play, or relaxing. The large 7,205 sq. ft. lot backs to peaceful green space, offering added privacy and a great outdoor setting. Enjoy DuPont√¢??s small-town charm with beautiful parks, walking trails, and quick access to I-5 and JBLM. A rare combination of space, convenience, and community in one of DuPont√¢??s most sought-after neighborhoods!</t>
  </si>
  <si>
    <t>Amir Marzban</t>
  </si>
  <si>
    <t>10215 NE 129th Lane</t>
  </si>
  <si>
    <t>Tucked away on a private greenbelt in Juanita with scenic forest views from every window, this luxurious move-in ready gem boasts a dream dual ensuite layout, secluded fenced yard &amp; spacious 2 car garage with driveway + 4th parking spot! Loaded with high-end modern upgrades: quartz counters, new appliances, custom lighting, EV charger, fresh paint, updated millwork &amp; LVP floors throughout. Main floor features stunning kitchen with bay window nook &amp; sweeping breakfast bar open to living &amp; dining room with brick fireplace, built-in bookcase &amp; oversized windows with french door to extended patio &amp; garden. Upper bedroom suites with lavish full baths + powder room on main. Pre-inspected &amp; pristine with low $125 dues, strong HOA &amp; no rental cap!</t>
  </si>
  <si>
    <t>John Johnson</t>
  </si>
  <si>
    <t>newcolony1@gmail.com</t>
  </si>
  <si>
    <t>3328 104th Ave SW</t>
  </si>
  <si>
    <t>Heres your legacy THREE homes on 4.78 acres, all built in 2013 and fully permitted, The 2,372 sf main home is complemented by a 1,450 sf second home, and 1,158 sf third. Now the possibilities, it also includes a 4000 sf business style shop with 800 sf office space with ample parking! Whether for multi-generational living, rental income, or creating your own private retreat, the possibilities are endless. Just minutes from I-5, this rare property feels almost too good to be true space, convenience, and opportunity all in one. This is the opportunity you didn√¢??t even know you were searching for a property that feels almost impossible to exist.</t>
  </si>
  <si>
    <t>Nicholas Raissis</t>
  </si>
  <si>
    <t>araissis1@msn.com</t>
  </si>
  <si>
    <t>6201 Island Crest Wy</t>
  </si>
  <si>
    <t>Stunning Mercer Island home offering 2,340 sqft w/ 4 beds &amp; 2.25 baths, plus a 610 sqft ADU w/ a 3/4 bath for a total of 2,950 sqft. Hardwood floors &amp; large windows enhance the spacious living areas. The modern kitchen offers natural-toned cabinetry, SS appliances, recessed lighting, &amp; a large island with sink &amp; seating. Additional highlights include a dual-sided fireplace, versatile den, mud room, A/C, and laundry room w/ utility sink. The detached 2-car garage includes the ADU w/ kitchenette, washer/dryer, Murphy bed &amp; 3/4 bath√¢??ideal for rental income or multi-generational living. Enjoy a fully fenced, level backyard w/ saltwater pool &amp; covered deck with outdoor fan. Amazing location close to parks &amp; highly rated schools.</t>
  </si>
  <si>
    <t>109TH EVERETT LLC .</t>
  </si>
  <si>
    <t>726 109th St SE</t>
  </si>
  <si>
    <t>Beautifully updated Everett home set on a spacious lot of .88 acres (38,333 sq/ft) offering endless possibilities for outdoor living or potential ADU development. Inside, enjoy light-filled spaces with oversized windows, newer solid wood cabinets, quartz countertops, and durable LVP flooring in the common areas. Fresh paint and resurfaced steps give the home a polished, move-in ready feel. Major upgrades include hardy board siding, roof and gutters only 5 years old, plus a new electrical panel with upgraded wiring for added peace of mind. Whether you√¢??re looking for a turnkey home or envisioning future additions, this property combines modern upgrades with a generously sized lot full of opportunity.</t>
  </si>
  <si>
    <t>Thomas Rawson</t>
  </si>
  <si>
    <t>rawsonnatalie@gmail.com</t>
  </si>
  <si>
    <t>1664 Ridgeview Lp SE</t>
  </si>
  <si>
    <t>Tumwater</t>
  </si>
  <si>
    <t>Modern 4-bed home in Tumwater Hill with luxury finishes and a large, low-maintenance backyard. This 2,679 sq ft home features hardwood floors throughout, a high-end kitchen, and spacious open living areas. The fully fenced yard includes artificial turf and raised garden beds√¢??perfect for entertaining. The primary suite offers a five-piece bath with soaking tub and dual vanities. Built in 2015 with a heat pump and 2-car garage. Convenient to I-5 and downtown Olympia, this home delivers comfort, space, and style in a prime location.</t>
  </si>
  <si>
    <t>Brian Sacco</t>
  </si>
  <si>
    <t>26 E Port Gardner Dr</t>
  </si>
  <si>
    <t>Escape to Hat Island in this 1,880 sq ft custom waterfront home with panoramic bay and Cascade views. Only 15 minutes from Everett by private ferry, this peaceful retreat offers 2 bedrooms, 2 bonus rooms, hardwood floors, and a wood-burning fireplace. Large windows, a spacious deck perfect for morning coffee or sunset dining, plus Hat Island√¢??s amenities√¢??golf course, marina, fishing pond, and trails√¢??make this a rare find. Optional furnishings, a boat, and a car provide turnkey living, with two extra parcels available for expansion or investment. Experience privacy, comfort, and adventure just moments from Everett and Seattle. (seller is willing to add the adjacent lot (Lot#27/ 0.19 acres) to the sale with a noticeable discount).</t>
  </si>
  <si>
    <t>Anhthu Nguyen</t>
  </si>
  <si>
    <t>GIANG666@GMAIL.COM</t>
  </si>
  <si>
    <t>13348 32nd Ave S</t>
  </si>
  <si>
    <t>Tukwila</t>
  </si>
  <si>
    <t>Gorgeous home in the heart of Tukwila features 4 bedrooms and 2 baths and a Detached ADU with 1 Bed and 1 Bath. Primary home and DADU tenant occupied. Primary home is 1170 sq ft and DADU is 600 sq ft. DADU just renovated with LVP flooring and upgraded finishes. Home features gorgeous level back yard with plenty of space for recreation with a 8,696 Sq Ft lot, the home is sits on a beautiful corner lot with plenty of space. Easy access to I-5/I-405 make it extremely convenient location. Right next to Lightrail Station. Main home currently rented for $1900 and Adu rented for $1600. Both below market rents. Lots of upside!</t>
  </si>
  <si>
    <t>7132 Beacon Ave S</t>
  </si>
  <si>
    <t>Beautifully maintained 3 bed 2 bath townhome, minutes to freeway, downtown &amp; so much more! Modern finishes throughout this end unit home are sure to impress. Lower level features 1 bed &amp; deep 1 car garage access. Main level w/open kitchen/dining/living room, perfect for entertaining. Sleek lines in the kitchen, w/quartz counters, tile backsplash &amp; stainless appliances. Plank vinyl flooring throughout main floor. Slider door to balcony. Upstairs has a spacious bedroom &amp; full bath. Primary bedroom w/large closet &amp; ensuite bath w/dual sinks &amp; tile shower. Washer/Dryer in hall. Mini-split heat pump for efficient heat &amp; A/C. Storage space in garage. Minutes to Beacon hill restaurants &amp; shops. 15 min to downtown. No Special Assessment. Come see!</t>
  </si>
  <si>
    <t>Logan Primera</t>
  </si>
  <si>
    <t>201 3rd St NE</t>
  </si>
  <si>
    <t>Welcome to the perfect Yelm location! This charming 4-bedroom home offers soaring vaulted ceilings, a stylish kitchen with updated floors, freshly painted cabinets, and stainless steel appliances. The laundry room includes a utility sink and extra storage. The primary suite features a roomy walk-in closet, and theres a spacious two-car garage plus driveway parking. Enjoy a fully fenced backyard with a concrete patio√¢??ideal for pets and outdoor gatherings. Just minutes from schools, parks, JBLM, and all that downtown Yelm has to offer!</t>
  </si>
  <si>
    <t>104 N 80th</t>
  </si>
  <si>
    <t>Rates as low as 1.99%* Welcome to 106 N, a 3-home enclave. Each home is crafted for a unique lifestyle. This 2-level detached home features the residents bedrooms upstairs, while the gathering and living spaces are on the ground floor. In the primary, you will find a full en-suite, walk-in closet &amp; upstairs laundry closet. The layout presents a new level of convenience- Jack &amp; Jill primary w/laundry rm located upstairs. Coupled w/ample storage &amp; dedicated dining/living space seamlessly connected. Coming standard, LVP flooring, premium hardware package, quartz countertops + unbeatable location with schools, churches, grocery stores &amp; top restaurants all within 1 mile. Come see whats new on 80th St. ft 2-10 warranty for extra peace of mind.</t>
  </si>
  <si>
    <t>1401 N 137th St</t>
  </si>
  <si>
    <t>Brand new construction standalone 2 story craftsman style cottage with 2 bedrooms, 2.5 bathrooms. Entertainment galore with open living space opening out to thoughtfully designed, landscaped, and hardscaped yard - a true urban oasis. Chefs kitchen with modern shaker cabinets, stainless appliances and custom backsplash. 2 spacious ensuite bedrooms each with their private bathroom (perfect for house hack). Stay cool on those hot summer days with mini-split A/C throughout. Enjoy a meal or sip on your favorite drink on your paved front patio. Parking in front of the driveway. Bonus storage shed for personal belongings. Easy access to freeways, recreation, shopping and much more! Ask about a buyer credit of up to $17,500 with preferred lender!</t>
  </si>
  <si>
    <t>EBM RE 16 LLC .</t>
  </si>
  <si>
    <t>3819 Fremont Ave N</t>
  </si>
  <si>
    <t>Discover Ivy, a luxury collection of 8 thoughtfully designed townhomes by Greencity Homes, perfectly set in the heart of Fremont. Choose your upgrades &amp; Tailor What Matters To You at presale with a rare opportunity to personalize every detail√¢??from kitchen layouts &amp; cabinet finishes to countertops, tiling, flooring, lighting, custom accent walls, and more. This home offers open-concept living with designer touches, expansive windows, &amp; seamless indoor-outdoor flow. The luxe primary suite is a private retreat, complete with a spa-inspired bath. Lower levels offer flexibility with additional bedrooms &amp; baths for guests, office or media. As a bonus, enjoy rooftop decks with views &amp; secure garages. Tailor your dream home in one of Seattle√¢??s most vibrant neighborhoods!</t>
  </si>
  <si>
    <t>Ellisa Schiffman</t>
  </si>
  <si>
    <t>sydney.schiffman@gmail.com</t>
  </si>
  <si>
    <t>4300 OLD PACIFIC Hwy S</t>
  </si>
  <si>
    <t>Kelso</t>
  </si>
  <si>
    <t>Live like youre on vacation every day! Stunning custom home overlooking the Columbia River. Views from all 3 levels, tall ceilings, abundant windows, granite, laminate, French doors, &amp; designer touches throughout. Lower level features a private ADU w/kitchen, living room, full bath, bedroom, office, laundry, &amp; private entrance: a successful Airbnb. Oversized primary suite, 3 view decks, &amp; RV/boat-ready driveway. Hot tub, &amp; easy 3-min access to I-5. Perfect balance of panoramic views &amp; privacy.</t>
  </si>
  <si>
    <t>Gerald Emtage</t>
  </si>
  <si>
    <t>15804 Maplewild Ave SW</t>
  </si>
  <si>
    <t>Back on the Market after a short winter break! Welcome to Three Tree Point where salt water meets forest and city life seems distant. This fully renovated jewel sits in private solitude, high above Maplewild, gazing west out where the sun sets over the Salish Sea. The open concept living room / kitchen welcomingly awaits your special guests to gather around your latest culinary creation from your new kitchen. The primary bedroom is positioned for privacy offering you a needed retreat after a busy day out in the world. The downstairs apartment with its own private entrance and a view of the water is the perfect living space for the semi independent. All conveniently less than 10 minutes from the downtown Burien commercial district.</t>
  </si>
  <si>
    <t>SHORELINE 155TH LLC .</t>
  </si>
  <si>
    <t>15420 2nd Ave NE (Homesite</t>
  </si>
  <si>
    <t>Shoreline</t>
  </si>
  <si>
    <t>On-Site Sales Center Now Open√¢??RIDGELINE by Terrene Homes√¢??Now Selling! Discover RIDGELINE, a new 64-home community by one of Washington√¢??s most respected builders. Each home features Terrene√¢??s signature craftsmanship, open-concept layouts, &amp; refined finishes. Just steps from the Shoreline Light Rail Station, this vibrant neighborhood offers unbeatable city access with a serene community feel. Enjoy top-rated Shoreline schools and outdoor connections to local parks, the Interurban &amp; Burke-Gilman Trails. Construction underway, completion est. Spring 2026. On-site sales center now open and ready to welcome you. Renderings are for illustrative purposes only and may differ from final home.</t>
  </si>
  <si>
    <t>Renato Millo</t>
  </si>
  <si>
    <t>mwylde59@gmail.com</t>
  </si>
  <si>
    <t>9534 Palatine Ave N</t>
  </si>
  <si>
    <t>Welcome to this beautifully maintained single-story, 4-bedroom, 2-bathroom home located in the desirable Greenwood neighborhood. Designed for comfort and convenience, this one-floor layout offers easy living with a functional floor plan ideal for entertaining, or anyone seeking accessibility and flow. The heart of the home is the bright open-concept kitchen, which seamlessly connects to the dining and living areas, creating a welcoming space for gatherings and everyday living. With ample cabinetry and generous counter space, the kitchen is both practical and inviting. The main bedroom is a private retreat, featuring a comfortable layout and a private en-suite bathroom for added privacy and convenience. Three additional bedrooms are well-sized and versatile, perfect for guests, a home office, or hobby space. A private room toward the back of the home adds flexibility and is ideal for guests or a quiet workspace. Natural light fills the home, highlighting the well-maintained finishes and thoughtful design throughout. The backyard provides space to relax, entertain, or personalize to your lifestyle. Conveniently located near schools, shopping, dining, and local amenities, this home offers the perfect combination of space, comfort, and location. Don√¢??t miss the opportunity to own this inviting single-level home in one of Seattle√¢??s most sought-after neighborhoods.</t>
  </si>
  <si>
    <t>Adam Acosta</t>
  </si>
  <si>
    <t>32808 Ten Trails Pkwy SE</t>
  </si>
  <si>
    <t>Black Diamond</t>
  </si>
  <si>
    <t>Stunning Ichijo former model home on a premium Mt. Rainier view lot! This home has it all: flowing spaces, high ceilings, &amp; extras like designer wallpaper, custom window coverings, Ring doorbell, Nest thermostat, solar panels &amp; 3 zone irrigation system! Great room w/ a gas FP, dream kitchen w/ cabinet organizers, quartz &amp; SS appliances &amp; an outdoor patio off the dining area. The Owners suite boasts a sitting area, 5-pc bath &amp; walk-in closet. HOA covers landscaping &amp; 1G internet. Located in the amazing Ten Trails w/ access to multiple parks, trails, sports courts, playgrounds, community P-patch, regular community events &amp; more. Coming soon: Retail village w/ dining, shopping &amp; entertainment!</t>
  </si>
  <si>
    <t>Kuljeet Gill</t>
  </si>
  <si>
    <t>harbh1990@hotmail.com</t>
  </si>
  <si>
    <t>7025 Hannegan Rd</t>
  </si>
  <si>
    <t>Lynden</t>
  </si>
  <si>
    <t>Approximately 1,600 square foot house on a one-acre lot. The home features 3 bedrooms and 2 bathrooms. The property includes a one-bedroom rental suite, currently rented for $800 per month, and the main house is rented for $2,300 per month. The location is convenient, situated between Lynden and Bellingham, near the Canadian border, and is in the desirable Lynden school district. The property offers the opportunity for a hobby farm, with a blueberry stand on the premises. The house comes with an American Home Shield Essential 1-year Warranty plan. Tenants pay all utilities.</t>
  </si>
  <si>
    <t>1754 NE Mesford Rd</t>
  </si>
  <si>
    <t>Lives Like NEW! Fully renovated, large open space DW, with vaulted ceilings, in desirable Viking Park. This well kept and sought after 55+park is near all the amenities one could need! This stunning bright 3 bed/two bath, is fully updated. Includes Updated LVP flooring, tile in the bath and shower, Quartz countertops, new cabinets and new high end appliances that convey, it is a must see. Tons of parking space and a 2-stall large attached garage for convenience. Clean crawl with tie downs.Tucked back in a corner on one of the largest lots in the park with a back patio for entertaining. RV parking storage available.</t>
  </si>
  <si>
    <t>Hassan Ismail</t>
  </si>
  <si>
    <t>yazan612@hotmail.com</t>
  </si>
  <si>
    <t>15511 35th Ave W</t>
  </si>
  <si>
    <t>Welcome home to this beautifully maintained 3-bedroom, 2.5-bath townhouse in a prime location! The inviting living room features a cozy gas fireplace, perfect for relaxing evenings. Enjoy cooking and entertaining in the open kitchen with upgraded appliances, abundant storage, and a seamless flow into the dining area. Upstairs, the spacious primary suite offers a full bath and a walk-in closet for added comfort and convenience. Step outside to your private, fenced backyard complete with pavers and a charming gazebo√¢??ideal for outdoor gatherings. HOA dues include water, sewer, and garbage. Additional reserved parking spot. Minutes to Alderwood, I-5, I-405, and the light rail station. Don√¢??t miss this fantastic opportunity√¢??this one won√¢??t last!</t>
  </si>
  <si>
    <t>Neal Donham</t>
  </si>
  <si>
    <t>hillock4@wavecable.com</t>
  </si>
  <si>
    <t>7519 184th St NW</t>
  </si>
  <si>
    <t>Lakefront living on Lake Martha, where peaceful views and a private dock create a true Northwest retreat. This well-maintained home offers open, light-filled living spaces designed to take in the water. The level front yard provides easy access and great curb appeal, while the landscaped backyard steps naturally down to the lake and features multiple seating areas, a firepit, and an inviting connection to the shoreline. Tucked away on a quiet dead-end street, the property offers privacy while remaining close to Stanwood amenities. A three-car garage provides ample space for vehicles, storage, and lake gear. A thoughtfully designed waterfront home that balances comfort, function, and lifestyle.</t>
  </si>
  <si>
    <t>Jerrid Anderson</t>
  </si>
  <si>
    <t>jerrid8@gmail.com</t>
  </si>
  <si>
    <t>4527 W Raye St</t>
  </si>
  <si>
    <t>Experience Magnolia living w/ panoramic Puget Sound &amp; Olympic Mountain views. Renovated down to the studs, this 3,750SF home blends modern sophistication and timeless style, offering light-filled interiors &amp; year-round sunsets. Main level includes a chef√¢??s kitchen w/ premium appliances, wine storage, &amp; inviting decks. Primary suite has a spa-inspired bath, while four additional bedrooms offer flexibility. All baths feature heated floors. Lower level provides a full kitchen, ideal for guests, multi-generational living, and more. Highlights include stone entry, generous driveway, EV charger, freshwater stream, private backyard oasis, and just minutes to Discovery Park, Elliott Bay beach walks, and scenic waterfront trails.Make it yours today!</t>
  </si>
  <si>
    <t>Star Jones</t>
  </si>
  <si>
    <t>courtneyj360@gmail.com</t>
  </si>
  <si>
    <t>1476 Boon Hollow Lane</t>
  </si>
  <si>
    <t>Your dream mini farm is here! Enjoy peaceful country living on 2.5 acres with a custom single-story 3BR/2.5BA home, detached 2-car garage, orchard, chicken coop, greenhouse, and a brand-new horse arena. This 2,540 SF home features bamboo floors, granite counters, propane range, and solar panels for energy savings. Skylights and large windows flood the space with natural light. Relax on the patio surrounded by fruit trees and gardens. A 1,728 SF enclosed shop and 1,152 SF of covered carport offer room for hobbies, projects, or storage. Bonus: the game room includes a pool table and extra fridge/freezer. Just minutes from Oak Harbor, NAS Whidbey, and the scenic beauty of Whidbey Island. Welcome home to your homestead!</t>
  </si>
  <si>
    <t>David Wilson</t>
  </si>
  <si>
    <t>davewilson12sr@gmail.com</t>
  </si>
  <si>
    <t>281 Cakesosta St SE</t>
  </si>
  <si>
    <t>LOVELY HOME on a HUGE Lot with some views of the Bill Ellis Park on Duck Lake. 2nd Owner, Custom Built Home. Enjoy living in this Light and Bright Home on an extra-large lot with low-maintenance landscaping. Covered concrete walkway leads to the Front Deck and Entry. Enter into the Open Great Room with lots of windows for natural light. Heating and Cooling provided by the Ductless Heat Pump. Slider from the Dining Room to the Rear Deck and spacious Backyard. Comfortable living with 1,040 sq.ft., 2 Bedrooms, 1 Bath with walk-in shower, and a spacious Laundry Room with a 1/2-Bath and washer/dryer. Fenced Dog Area. Firepit and Storage Shed in the backyard. Hardiboard siding. You will love this charming home!</t>
  </si>
  <si>
    <t>7027 Rainier Dr</t>
  </si>
  <si>
    <t>Discover the perfect blend of convenience, style, and everyday comfort at Rainier Townhomes, where THE ATLAS exterior unit delivers an exceptional living experience designed for modern lifestyles. This beautifully crafted home offers approximately 1,758 square feet of thoughtfully planned space, featuring four spacious bedrooms, three well-appointed bathrooms, and a dedicated office ideal for remote work, study, or creative use. Standard features at Rainier Townhomes showcase quality and attention to detail, including elegant quartz kitchen countertops, timeless cabinetry enhanced with crown molding, durable and stylish laminate hardwood flooring, and an open, functional floorplan that flows effortlessly for daily living and entertaining. Enjoy Pacific Northwest living year-round with a covered front porch and covered deck. Ideally situated near the scenic waterfront parks of the Puget Sound and the vibrant city of Everett, residents enjoy the perfect balance of natural beauty and urban convenience, with easy access to commuting routes, shopping, dining, entertainment and Pain Field Airport. This NEW home offers added peace of mind with a new home warranty, energy-efficient construction, lower maintenance living, updated safety features, and contemporary design elements throughout. A fully fenced private backyard with zero maintenance provides a perfect outdoor retreat, making this home a standout opportunity for comfort, convenience, and modern living all in one place.</t>
  </si>
  <si>
    <t>James Eastwood</t>
  </si>
  <si>
    <t>carpaydem@gmail.com</t>
  </si>
  <si>
    <t>10221 132nd Ave NE</t>
  </si>
  <si>
    <t>Prime Rose Hill vacant lot offering an exceptional opportunity to build your dream home in one of Kirkland√¢??s most desirable neighborhoods. This level, fully usable parcel provides flexibility for modern architectural designs with room for outdoor living spaces, gardens, or additional structures. Located minutes from top-rated schools, shopping, restaurants, parks, and major commuter routes. Rare chance to create a custom residence in a highly sought-after, well-established community.</t>
  </si>
  <si>
    <t>JAY MARC DIAMOND LLC .</t>
  </si>
  <si>
    <t>27 Tulalip Key</t>
  </si>
  <si>
    <t>A rare new construction in the prestigious Newport Shores community, the San Anita exemplifies refined Eastside living with thoughtful design, superior craftsmanship, and seamless indoor-outdoor flow. The main level features a gracious guest suite, elegant mudroom with stacked laundry, and a service center adjacent to the media room. Upstairs, the primary suite is a serene retreat with French doors, wood-slat ceiling, custom closets, spa-inspired bath with soaking tub, walk-in shower, heated floors, and refined millwork. Three oversized bedrooms with ensuite or private baths, a bonus room, and second laundry complete the upper level. Wide-plank hardwoods extend throughout the main floor, stairs, and upper hall. The chef√¢??s kitchen is designed for entertaining, with quartz counters, waterfall island, soft-close cabinetry, glass display cabinets, professional Sub-Zero, Wolf, and Bosch appliances, and a walk-in pantry. Living spaces flow to a covered patio with stone fireplace, BBQ station, heaters, skylights, and private yard. Residents enjoy a private clubhouse, pool, tennis courts, walking trails, curated events, and are just steps from the Newport Shores Yacht Club, offering exclusive waterfront access and boating lifestyle√¢??an unparalleled Eastside experience. JayMarc Homes√¢?? seven-time Best of Houzz Customer Service award and five-time Best in Design recognition highlight their artistry, attention to detail, and relentless pursuit of excellence.</t>
  </si>
  <si>
    <t>Rasamy Simpson</t>
  </si>
  <si>
    <t>rasamy@aol.com</t>
  </si>
  <si>
    <t>1317 52nd St NE</t>
  </si>
  <si>
    <t>Step into this beautiful home! Well-maintained 2-bedroom, 2.5-bath townhouse in desireable Auburn location. The home features a granite countertop and opens up to the main living and dining area. Additional features include bamboo flooring, stainless steel appliances, and a gas range. The two spacious primary bedrooms offer walk-in closets, full baths, and double sinks. The laundry room is conveniently located upstairs. Residents of the Trail Run community can enjoy a charming playground, green spaces, and walking trails. The community is conveniently situated near freeways and shopping centers.</t>
  </si>
  <si>
    <t>Robert Henson</t>
  </si>
  <si>
    <t>335-337 Martin Luther King Jr Way</t>
  </si>
  <si>
    <t>*Urban Oasis in Seattle: Luxurious 2-Bedroom Retreat with Amenities* Contact us today for a showing! This stunning 1020 sq ft, 2bdr, 2-bath home in Seattle is a rare find. Fully remodeled to perfection, it offers a luxurious living experience with modern amenities and convenient features. The beautifully appointed kitchen is equipped with high-end stainless steel appliances and stylish cabinetry, making meal prep a joy. The spacious living area features large windows, perfect for taking in the surrounding beauty. The two bedrooms are serene retreats, providing ample space for rest and relaxation. Bathroom Suite Oasis The primary bedroom boasts an ensuite bathroom suite, complete with a large walk-in shower, soaking tub ,double sink vanity, and walk-in closet. This luxurious space is the perfect retreat after a long day. Convenient Off-Street Parking This home also features off-street parking, providing added convenience. Additionally, this property is set to have the exterior repainted and a new driveway replaced shortly, adding curb appeal. First, last, and deposit due at signing.</t>
  </si>
  <si>
    <t>Soo Song</t>
  </si>
  <si>
    <t>cvosusan@gmail.com</t>
  </si>
  <si>
    <t>5650 24th Ave Nw Unit 409</t>
  </si>
  <si>
    <t>Prime Ballard living at this West Ballard condo. Conveniently situated in the center of Ballard's restaurants and retail, with a 98 walk score. This modern 1bed/1bath has unobstructed territorial views. Enjoy the efficient layout, in-unit washer/dryer, and private balcony. The building features secure access, a gym, conference room with kitchen, an on-site manager, and a rooftop deck with views of Salmon Bay. The unit comes with one parking spot in a secure common garage as well as a storage unit. Located near Ballard Locks, Golden Gardens, Ballard Farmer's Market, restaurants, shops, and transit The Owner will pay all HOA dues, including garbage, sewer, and property management fees, while the Tenant is responsible for all other utilities and services not covered by the HOA, including Seattle City Light, any applicable Seattle Public Utilities charges, WiFi, and any additional services the Tenant chooses to obtain; the Tenant must establish and maintain all required utility accounts, reimburse the Owner within 10 days if any Tenant related utility charges are forwarded, and acknowledges that if the HOA changes the scope of included services, utility responsibility will adjust accordingly.</t>
  </si>
  <si>
    <t>Mandeep Buttar</t>
  </si>
  <si>
    <t>mandeepbuttar86@gmail.com</t>
  </si>
  <si>
    <t>12730 Se 302nd St</t>
  </si>
  <si>
    <t>Easy walking to public transit and great neighborhood also near Green River college Renter pay utilities.</t>
  </si>
  <si>
    <t>Diane Beck</t>
  </si>
  <si>
    <t>bbeck631@hotmail.com</t>
  </si>
  <si>
    <t>18930 Bothell Everett Hwy Apt T101</t>
  </si>
  <si>
    <t>Modern 3-Bedroom two story Condo in Prime Bothell Location ( Owner rental). I am looking for tenants for this spacious townhouse offering comfort and convenience in the heart of Bothell. This beautiful maintained condominium features : 3 Bedroom and 2 full bathrooms- perfect for small family or a roommate. Open concept living-Bright and airy layout with a cozy gas fireplace. Update kitchen- Stainless steel appliance, ample cabinetry. Semi-Private Patio- Ideal for relaxing or just enjoying the outdoors. In-Unit Laundry - Washer and dryer included for your convenience. 2-Car Garage- limit guest parking also available on site. Community Amenities: Enjoy access to a clubhouse, outdoor basketball court, fitness center and outdoor pool. Location Highlights: Minutes from I-405, shopping, dining, and top-rated Northshore schools. Easy commute to Seattle, Bellevue and Everett. Available Now. Owner pays water, sewer and garbage. Renter is responsible for electric, gas and internet. No smoking allowed.</t>
  </si>
  <si>
    <t>13017 111th Pl Ne</t>
  </si>
  <si>
    <t>Welcome to this east-facing rambler tucked into a quiet cul-de-sac in the heart of Kirkland. Featuring 3 bedrooms, 2 baths of light-filled living, this home offers an updated kitchen with luxury appliances and gorgeous remodeled primary bath. Sliding doors lead to a large, fenced backyard, ideal for entertaining, gardening, or relaxing. A two-car garage. Just minutes to I-405, EvergreenHealth, Juanita Beach, and less than a mile to The Village at Totem Lake's shopping and dining scene. Award-winning Lake Washington School District. Tenant responsible for utilities and yard maintenance</t>
  </si>
  <si>
    <t>Farid Mokeddes</t>
  </si>
  <si>
    <t>14124 74th Place Northeast #d-18</t>
  </si>
  <si>
    <t>Lovely, light-filled top-floor unit in a very quiet neighborhood, offering nearly 1,000 sq ft of living space larger than the average condo. This 2+ bedroom, 1 bath home includes an extra small room that's perfect for a home office, kids' room, or additional storage. The unit is currently undergoing remodeling and will be available by the end of February 2026. Recent updates (2024): New vinyl flooring in the living room New water heater New vinyl windows Bathroom upgrades Location highlights: Situated at the top of Lake Washington, just off Juanita Drive, directly across from Bastyr University. Close to Juanita Beach and conveniently located between Seattle and Bellevue. Nestled behind beautiful evergreen trees in the peaceful Inglewood Hills Condominiums. Additional features: Safe, quiet upper unit in a four-plex Private road setting Private uncovered parking directly in front of the unit Ample guest parking nearby Nice-size balcony with extra outdoor storage If you're looking for a secluded, quiet, and well-maintained home in a prime Kirkland/Juanita location, this condo is a great fit. All appliances. Washer and dryer. Warm and cozy fireplace in the living room. Walk- in closet in the master bedroom. Water, sewage and garbage included in the lease. Near shopping, bike and bus routes. Lake Washington School district, i.e. Thoreau Elementary, Finn Hill Jr High, or Juanita High. No Smoking. Rental insurance Security deposit $2400.00 First and last Month Rent One year Lease. Available Feb 1st. 2026. Located at the top of Finn Hill off of Juanita Drive and across from St. Edwards Park which has over 300 acres of hiking and biking trails. Juanita Beach is just down the hill. Beautiful all year round. You can live blissfully and be within walking distance to your necessities: QFC, Bartell Drugs, and places for you to eat are 60 seconds away! *Close to the beautiful Juanita Beach Park on Lake Washington and the new Juanita Town Center. Restaurants, Trader Joe's, retail shops, coffee, and more!</t>
  </si>
  <si>
    <t>915 15th Avenue #c</t>
  </si>
  <si>
    <t>Quiet neighborhood within very easy walking distance to Seattle University, Pike &amp; Pine Capitol Hill commercial district and Swedish Cherry Hill Campus. Very private unit with views of the city skyline. Successful applicants will need to meet minimum credit scores, debt-to-income ratios, and income-to-rent ratios. Applicants must show up on time for a scheduled showing or send prior notice that they will be late or need to reschedule. Credit reports will be required for all applicants, as well as a verifiable source of income (e.g., employment with two months of recent pay stubs or other documentation). Leasing Criteria includes no bankruptcies, prior evictions, or lease defaults. Comprehensive reusable credit reports will not be accepted. Screenings are through our property management software, AppFolio. Applications are digital. A non-refundable application fee of $25 is required per applicant. Successful applicants will need to meet minimum credit scores, debt-to-income ratios, and income-to-rent ratios. Applicants must show up on time for a scheduled showing or send prior notice that they will be late or need to reschedule. Credit reports will be required for all applicants, as well as a verifiable source of income (e.g., employment with two months of recent paystubs or other). Leasing Criteria includes no bankruptcies, prior evictions, or lease defaults. Comprehensive reusable credit reports will not be accepted. Screenings are through our property management software, AppFolio. Applications are digital. There is a non-refundable application fee of $25 per applicant.</t>
  </si>
  <si>
    <t>Christopher Rock</t>
  </si>
  <si>
    <t>rubenr8r@hotmail.com</t>
  </si>
  <si>
    <t>1707 8th St</t>
  </si>
  <si>
    <t>Well-maintained, charming home centrally located in Bremerton. Expansive kitchen with new stove, quiet Bosch dishwasher plus plenty of storage space. New gas furnace &amp; thermostat. Natural light abundant, coved ceilings &amp; hardwood floors bring out the beauty &amp; character of this house. Additional 800 sq ft of storage in unfinished basement. Laundry on basement level with W/D plus utility sink. 2 vehicle paved driveway. Excellent neighborhood. Schools, PSNS shipyard, city &amp; state parks, WSF Ferry &amp; downtown access within minutes. Privacy hedges in front yard and thriving Blueberry patch, plus grapes &amp; strawberries in the backyard. Enjoy fresh fruit all summer long. Make this one your home. One year lease. First month &amp; Security deposit. Tenant responsible for water, electricity, gas &amp; garbage. Paved carport space for 2 vehicles. Non-smoking home. Minimal yard care - Electric lawn mower provided.</t>
  </si>
  <si>
    <t>Jesse Dagan</t>
  </si>
  <si>
    <t>jessedagan@gmail.com</t>
  </si>
  <si>
    <t>1448 Rooklidge St</t>
  </si>
  <si>
    <t>For Rent By Owner, Jesse or Shawn. This is a 2-story well kept cottage style home situated on large common green area in Northwest Landing. Very quiet. Features Hardwood Flooring, gas fireplace, vaulted ceiling in master bedroom, laundry room with Washer and Dryer Hook-ups, 2-car attached garage, grassed small fenced side yard. Your front yard is maintained by the ROA. Walking distance from elementary school, parks, restaurants, library, biking/walking trails. Short trip to Ft. Lewis/McChord AFB/Lakewood/Lacey. No smoking. $2,700.00 deposit required with a 1 year lease. Available MARCH 01, 2026 @ $2,700.00 Per Month HARDWOOD Floors, new carpet, new paint and new roof Welcome Home. Please contact for me more information and Pictures.. 1 Year Lease. Owner pays HOA Dues and Sewer You will pay for the following Utilities: Electric/Gas, Garbage, Water, Cable/Internet, Renters Insurance HOA takes care of Front Yard and Courtyard area</t>
  </si>
  <si>
    <t>Cade Bogie</t>
  </si>
  <si>
    <t>cbogle95@gmail.com</t>
  </si>
  <si>
    <t>10406 Cardon Pl Sw</t>
  </si>
  <si>
    <t>Port Orchard</t>
  </si>
  <si>
    <t>This 1,270 sq ft, 3-bedroom, 2.5-bath home is available April 1. Located in a quiet Port Orchard neighborhood, it offers a practical layout, attached garage, and a large yard. ALL walls will be painted white before move in. Features: Living room Kitchen with cabinet storage Three bedrooms Two full bathrooms + one half bath Attached garage + driveway parking Large yard Washer &amp; dryer hookups Included: Garbage &amp; recycling Lawn care Location: Convenient to shops, schools, and commuting routes. Qualified applicants will complete a rental application with background and credit screening. Message to schedule a showing or request an application. First month's rent, and $2500 Security deposit. No smoking on property. Two car garage for parking or in the driveway. Credit and background checks required. Water, electricity, and Internet are the responsibility of the tenant. Owners will pay for garbage &amp; recycling &amp; lawn care. Tours will be given by appointment. Rent $2800 Pet Policy Pets considered at landlord's discretion Separate non-refundable pet deposit required if approved $58 fee per applicant Credit and background checks required - No previous Credit and background check accepted. 1 year lease Positive employment, credit, and rental history are required. Income must be at least 2 times the rent</t>
  </si>
  <si>
    <t>Abby .</t>
  </si>
  <si>
    <t>4638 South Othello Street #b</t>
  </si>
  <si>
    <t>Conveniently located near the Othello light rail station and Seward Park. Several restaurants Easy access to downtown Seattle. 4 bedroom, 3 full bath. 1 bed room main floor, 3 bedroom upper level. Has washer and dryer. Each bedroom has own balcony Tenants pay all utilities. We will do background check, rental history and employment status.</t>
  </si>
  <si>
    <t>Paul Thomas</t>
  </si>
  <si>
    <t>92 Blue Dog Rd</t>
  </si>
  <si>
    <t>I have a 1100 sqft, 2 bed/1 bath available now, out on S Discovery Rd., Port Townsend. Has a wood stove, gas range, and gas on-demand water heater. New interior paint. Kitchen cabinets are not fancy, but functional. Beautiful little setting in the woods, relatively quiet, and friendly community. Lots of light, with a peak-a-boo mountain view. $2000/month, includes internet. $2000 deposit. Pets are a maybe. Owner will have access to the basement for renovation while occupied, but will respect no-work times. Owner will occupy in 2027. Looking for a responsible tenant, who values good community and is clean and not a collector. Internet is provided. Month to month or lease, TBD. Owner will have access to basement and work on light renovation, while respecting no-work hours established by tenant. Owner to occupy house in 2027</t>
  </si>
  <si>
    <t>Raul Luna</t>
  </si>
  <si>
    <t>dmendesluna@gmail.com</t>
  </si>
  <si>
    <t>3222 S 221st St</t>
  </si>
  <si>
    <t>Seatac</t>
  </si>
  <si>
    <t>Location: SeaTac, WA Spacious 4-bedroom home in a highly convenient SeaTac location, right next to the light rail, making commuting to Seattle, the airport, and surrounding areas fast and easy. Features: 4 Bedrooms Plenty of parking space for 4+ vehicles Excellent transit access steps from the light rail Quiet residential area Ideal for families or working professionals Parking: Driveway/yard space for more than 4 cars (rare find!) Pets: Pets allowed! Lease Details: Rent: $2,300 /month (depending on terms) Long/short term lease Security deposit required This home is perfect for tenants looking for space, parking, and unbeatable transportation access. Tenant shall be solely responsible for payment of all utility services and charges associated with the rental unit, including but not limited to electricity, gas, water, sewer, and trash collection. Flexible move-in date.</t>
  </si>
  <si>
    <t>Amanda Lane</t>
  </si>
  <si>
    <t>lane.amanda21@gmail.com</t>
  </si>
  <si>
    <t>620 N I St Apt 2</t>
  </si>
  <si>
    <t>Stadium District Charm! Welcome to 620 N I St #2, Tacoma, WA 98403 an excellent opportunity to live in North Tacoma's historic neighborhood. This classic unit features beautiful hardwood oak floors and a subway-tiled tub, plus an updated kitchen that opens onto the side yard, making morning routines and dog walks effortless. Upstairs you'll find two bedrooms and a full bath, and downstairs there's extra storage in the basement plus off-street parking included. Location is a major draw. You're just five blocks from Wright Park, close to the waterfront and local restaurants, near Stadium Thriftway shopping, and the anticipated expansion of the Link Light Rail. For healthcare professionals, this spot is especially convenient: St. Joseph Medical Center is about 1.6 miles, Tacoma General / Allenmore Hospital is about 0.6 miles, and Mary Bridge Children's Hospital is about 0.5 miles from the unit. Complete applications only. No smoking allowed. Utilities not included. Secured private storage space and bike parking. Cleaning fee 250.00 Non-refundable pet fee 250.00.</t>
  </si>
  <si>
    <t>Gwen .</t>
  </si>
  <si>
    <t>7330 11th Ave Ne</t>
  </si>
  <si>
    <t>Thoughtfully updated 1907 bungalow offers refined, flexible living and a peaceful retreat within the Roosevelt Urban Village. Multiple flex spaces and quality landscaped outdoor areas set this home apart! Min. of walk to Green Lake, Roosevelt Light Rail, neighborhood grocery stores, restaurants &amp; cafes. The main floor features hardwood floors, a living room with wood-burning fireplace, and an open dining area with French doors leading to the elegant deck and patio. The kitchen offers quartz counters &amp; gas cooking and an adjacent sunroom. Three bedrooms and stylishly remodeled full bath with heated tile floor complete the main level. The finished lower level with wood like luxury vinyl flooring adds substantial functional space, including the largest bedroom, a dedicated den/office ideal for remote work or hobbies, a newly remodeled bath with heated tile floor, and a spacious rec/flex room (concrete floor), along with a large laundry area. Both bathrooms were remodeled in 2025 with elevated style, quality, and comfort that stand out compared to most other properties on the market. The outdoor space of this home is a gardener's paradise! The professionally designed and meticulously maintained landscaping features an Ipe deck, natural stone hardscape, a generous patio, mature plantings, outdoor lighting, and fully fenced privacy; creating a soothing oasis for quiet everyday living or lively entertaining. Accessible via the rear alley, a finished and heated one-car garage offers rare versatility as a workshop, studio, gym, or storage space, in addition to parking. Two additional off-alley parking spaces are included, along with ample street parking in the front. Combining residential calm and urban convenience, with a walk score of 87, your lifestyle just got easier: walk to Green Lake, Roosevelt Light Rail, nearby grocery stores and restaurants/cafes; plus quick connections to commute routes I-5, HW-522. Qualifications: Combined income of up to two applicants must equal at least 3.5x the monthly rent; verifiable, stable employment required; credit score 740+ preferred; positive, verifiable rental references required; maximum three unrelated adults; absolutely no smoking; pets considered case-by-case with additional pet security rent. Application not accepted until Feb 3rd. Contact owner for application form. Prospective tenants are encouraged to inquire (CALL/TEXT owner Gwen MUCH PREFERRED six five zero three eight seven three four five nine), ask questions, and tour the home in advance of the application period. Rental comes unfurnished. Photos have been virtually staged. Renter is responsible for all utilities including: gas, electricity, water, sewer, garbage, and internet &amp; streaming services. 12 months lease, renewable to 6 or 12 month lease.</t>
  </si>
  <si>
    <t>Christine .</t>
  </si>
  <si>
    <t>12742 Northeast 116th Lane Apt J12</t>
  </si>
  <si>
    <t>Deluxe One-Bedroom Condo for Rent: Bright and welcoming condo featuring an open floor plan and a private backyard. The living room includes a cozy wood burning fireplace and connects seamlessly to the dining area and kitchen. An in-unit washer and dryer add everyday convenience. Additional perks include one reserved parking space, extra side parking, and a dedicated storage room. Fantastic Kirkland Location: Ideally situated near the new Totem Lake shopping and dining district, with quick access to Microsoft, Google, the University of Washington Bothell campus, Lake Washington Technical College, Evergreen Hospital, and downtown Kirkland. Close to I 405 and nearby bus stops. Shops, restaurants, and essential services are all within an easy walk. The lease term is 12 months. The security deposit and last month's rent are due at signing. The renter is responsible for gas and electricity.</t>
  </si>
  <si>
    <t>Pillar Communities</t>
  </si>
  <si>
    <t>204 5th Avenue North #502</t>
  </si>
  <si>
    <t>6 weeks free! Welcome to Your New Home at Aperture On Fifth Community Info: Taking shape in the shadow of the Space Needle, Aperture On Fifth presents a unique opportunity in urban apartment living. With a nearly perfect Walk Score of 97, the city is literally at your feet. Offering studio, one- and two-bedroom apartment homes, this community includes outstanding features and amenities. Stainless steel, Energy Star-rated appliances; quartz countertops; dark, walnut-stained cabinetry; luxuriant carpeting in the bedrooms; and a full-size washer and dryer are just a few of the amazing features that you will find in these brand-new Seattle apartments. The community offers residents a rooftop deck with gorgeous views of the city, a clubhouse with Wi-Fi access and a fully equipped fitness center. Though this community has everything you want, be sure to take advantage of your proximity to some of the highlights of Seattle. Step outside to world-class entertainment, Seattle Center festivals, and endless dining options, or pop down the street for groceries and everyday essentials. Walk to work at Amazon, the Gates Foundation and South Lake Union, or hop on the Seattle Center Monorail to the downtown core. At the end of the day, return to a well-appointed apartment designed with modern touches, contemporary finishes and abundant amenities. RESIDENT SCREENING DISCLOSURE: Comprehensive reusable tenant screening reports are not accepted. Features: Designed for Wall Mounted TV over Fireplace Dark Walnut-grained Cabinetry Four live/work models with interior and exterior entrances Quartz Countertops Under Mount Sink Under-cabinet Venting for Portable Air-conditioning Unit Built-in USB Charging Stations TV Mounted in Kitchen Community Amenities: Distinctive artwork in corridors and common areas, curated from local artists Spectacular 360-degree Views Storage lockers for skis, snowboards and more Fire Pit Flat Screen TV in Fitness Center Bicycle storage and maintenance area Precor Equipment Dog wash and grooming station Fully-equipped Fitness Center Expansive Rooftop Deck Bocce Ball Court Ping Pong Table Free Weights Seating areas Barbecues Assigned, controlled-access, underground parking Pet Policy: Pet friendly Office Hours: Monday-Saturday:9:00AM-6:00PM Aperture on 5th Apartments</t>
  </si>
  <si>
    <t>Klh Kirkland</t>
  </si>
  <si>
    <t>9012 126th Avenue Northeast #n</t>
  </si>
  <si>
    <t>This is a fully-furnished, charming 2-bed 2-bath mother-in-law apartment with its own private entrance. You'll enjoy the high-end appliances, quartz counters, heated floors, bidet toilets and beautiful views in this light and airy space. Located near the heart of Kirkland, you'll have easy access to Microsoft, Google and shopping galore. First, last + 1k security deposit, (refundable less $500 cleaning fee). Rent includes all utilities accept trash and internet. This is an 18-24 mo lease. No smoking no pets (sorry). Tenant must have credit score above 700, no exceptions.</t>
  </si>
  <si>
    <t>Chao Liu</t>
  </si>
  <si>
    <t>11013 Echo Rock Pl</t>
  </si>
  <si>
    <t>Step inside this spacious and inviting 4-bedroom, 2.75-bathroom home that perfectly blends style and comfort in one of Gig Harbor's most sought-after neighborhoods. The heart of the home features a gourmet kitchen with premium appliances and a large island. Upstairs, the oversized primary suite offers a peaceful retreat with a spa-like ensuite bath, while the additional bright bedrooms provide flexible options for a home office, guest rooms, or a playroom. Outside, enjoy a private, fully fenced backyard for relaxing, gardening, or outdoor dining with total privacy. The location is unbeatable for convenient living. Quick access to the YMCA, Costco, Target, and top-rated schools. Ready for move-in since Feb 10th. Tenants pay all utilities and are required to have renters insurance. Pets are case by case with an additional deposit. No smoking. Combined income equal to or greater than 3x the monthly rent total. 700+ credit score. The first and last month's rent and $3,600 security deposit are required at move-in.</t>
  </si>
  <si>
    <t>Sridhar Aswath</t>
  </si>
  <si>
    <t>10028 124th Ave Ne</t>
  </si>
  <si>
    <t>Convenient, Desired Kirkland location!. Single-family home 4 Bed + 3.5 Bath, with bright living spaces, freshly painted, new roof, upgraded appliances, an attached garage, in-unit washer and dryer, Air conditioner and a private yard ideal for outdoor enjoyment. The home is 2-5 mins drive to grocery stores, Costco, parks, Totemlake Mall, Whole Foods, Trader Joes and downtown Kirkland, with steps to public transit, major bus routes, and Amazon shuttle stop. 10 minutes proximity to Microsoft, Bellevue DT and Seattle makes commuting easy, and excellent school district add to the home's appeal. 12-month lease. First month's rent, and security deposit due at lease signing. Tenant pays all utilities and is responsible for routine yard and exterior maintenance. Application and screening required for all applicants age 18+. Pets considered case-by-case with additional refundable deposit. No smoking.</t>
  </si>
  <si>
    <t>Lina Zheng</t>
  </si>
  <si>
    <t>666 Shelton Ave Ne</t>
  </si>
  <si>
    <t>*The house features a comfortable living area, a practical kitchen with ample cabinet space , and well-sized bedrooms with natural light, one full bathroom serves the home, yard space provider room for outdoor use *convenient renton location near shopping area, school and park and major roads, easy access to 405. *neighborhood is quiet and residential *available now, contact to schedule a showing or for more information 1. Renter responsible for utility fee, 2. one month rent fee and one month security deposit fee when move in 3. Renter responsible for cleaning and yard work 4, $95 nonrefundable fee for background check.</t>
  </si>
  <si>
    <t>John Christensen</t>
  </si>
  <si>
    <t>christinehayward@hotmail.com</t>
  </si>
  <si>
    <t>24723 Se 30th St</t>
  </si>
  <si>
    <t>4-bedroom, 3-bathroom house on one acre with shop. Connected kitchen, dining, and living room with separate TV room downstairs. House is split three levels, with three bedrooms upstairs (including master) and one bedroom downstairs. Kitchen, dining, and living space is on middle level. Has 2 car garage attached to the house and detached shop. Covered back patio and lawn, garden, and forest areas. Close to good walking trails, too. House can be rented furnished or unfurnished. Renter is responsible for utilities. First, last and deposit due at start of rent period. Pets (max two dogs) are allowed. There's a large lawn area. Price is based on renters maintaining the yard (there's a riding mower) but can negotiate a lawn service. No smoking. House has an attached two car garage and detached shop.</t>
  </si>
  <si>
    <t>Shelbi Luchini</t>
  </si>
  <si>
    <t>sluchini14@gmail.com</t>
  </si>
  <si>
    <t>9212 Densmore Avenue North #a</t>
  </si>
  <si>
    <t>This quiet, well-maintained townhome is conveniently located just minutes from Light Rail, North Seattle College, and Green Lake, with easy access to I-5 and Highway 99. The home features three bedrooms, each with its own private bathroom/shower, plus an additional powder room on the main living level. The kitchen includes a gas range, dishwasher, and sink, as well as an in-unit washer and dryer. Radiant floor heating runs throughout the home, providing consistent and comfortable warmth. The first floor includes a single-car garage, a bedroom with an en-suite bathroom, and access to a private patio. A storage shed in the backyard offers convenient space for bikes, tools, or seasonal items. The second floor features the kitchen, living room, powder room, and a small balcony, creating a bright and functional main living space. The top floor offers two additional bedrooms with vaulted ceilings and large windows. The primary bedroom includes its own private balcony. Available: March 1, 2026 Lease Term: 12 months Smoking: No smoking Pets: No pets Utilities: Tenant pays all utilities Move-In Costs * First month's rent: $3,395 * Last month's rent: $3,395 * Refundable security deposit: $3,395 (less application fees) Each applicant 18+ must be willing to agree to the following basic terms and policies, in addition to all other terms included in the standard lease agreement: - One-year lease term - Lease shall commence no later than March 1st, 2026 - Monthly rent: $3,395 - A fully refundable security deposit, first month's rent, and last month's rent are due at lease signing - Tenant is responsible for all utilities, including water, sewer, garbage, and electricity - Renters insurance is required. - No smoking and no pets allowed - Applications will be provided after an in-person viewing</t>
  </si>
  <si>
    <t>Liudmyla Kovalenko</t>
  </si>
  <si>
    <t>1101 W Mukilteo Blvd</t>
  </si>
  <si>
    <t>Newly renovated home, featuring refinished hardwood floors throughout upper level.New insulation,freshly painted walls.Upper level has 3 bedrooms and 2.5 bathrooms fully renovated.Large and open living room with tons of natural lighting.Spacious kitchen with lots of cabinets.New appliances :fridge,stove range,dishwasher and microwave. Lower level has been renovated and has a separate entrance and garage access.New insulation,lighting,paint and flooring.Large open living space with a modern fireplace.Brand new bathroom with a shower.Laundry room has storage shelves ,utility sink ,washer and dryer.Two closets for storage.House has a large deck on the upper floor.Walking distance to Howarth park,Harborview park,minutes from Amazon and Boeing. First moth rent and security deposit required before move in date.Utilities are not included .</t>
  </si>
  <si>
    <t>Cory Thompson</t>
  </si>
  <si>
    <t>15424 74th Avenue East Apt D</t>
  </si>
  <si>
    <t>New upgraded flooring and paint in a private off-road home with 2 parking spots in a very quiet area. Home is well taken care of with very friendly landlords. Close to Lewis McCord and South Hill area. 650+ credit score required. Owner pays for septic and garbage. Tenant responsible for all other utilities.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</si>
</sst>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2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AB930-D9BD-EF4C-9B61-BF02A76C991C}">
  <dimension ref="A1:R240"/>
  <sheetViews>
    <sheetView tabSelected="1" workbookViewId="0"/>
  </sheetViews>
  <sheetFormatPr baseColWidth="10" defaultRowHeight="16" x14ac:dyDescent="0.2"/>
  <cols>
    <col min="1" max="1" width="23.1640625" customWidth="1"/>
    <col min="2" max="2" width="24.83203125" customWidth="1"/>
    <col min="10" max="10" width="17.6640625" customWidth="1"/>
    <col min="11" max="11" width="14.33203125" customWidth="1"/>
  </cols>
  <sheetData>
    <row r="1" spans="1:18"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2">
      <c r="A2" t="s">
        <v>18</v>
      </c>
      <c r="B2" t="str">
        <f>HYPERLINK("tel:2536786584", "2536786584")</f>
        <v>2536786584</v>
      </c>
      <c r="C2" t="s">
        <v>19</v>
      </c>
      <c r="D2" t="s">
        <v>20</v>
      </c>
      <c r="E2" t="s">
        <v>21</v>
      </c>
      <c r="F2" t="s">
        <v>22</v>
      </c>
      <c r="G2">
        <v>98387</v>
      </c>
      <c r="H2" s="1">
        <v>46059.13480324074</v>
      </c>
      <c r="I2" t="s">
        <v>23</v>
      </c>
      <c r="J2" t="s">
        <v>23</v>
      </c>
      <c r="K2" t="s">
        <v>24</v>
      </c>
      <c r="L2">
        <v>4</v>
      </c>
      <c r="M2">
        <v>1</v>
      </c>
      <c r="N2">
        <v>924</v>
      </c>
      <c r="O2">
        <v>1978</v>
      </c>
      <c r="P2" t="s">
        <v>25</v>
      </c>
      <c r="Q2">
        <v>1018888491</v>
      </c>
      <c r="R2">
        <v>522662</v>
      </c>
    </row>
    <row r="3" spans="1:18" x14ac:dyDescent="0.2">
      <c r="A3" t="s">
        <v>26</v>
      </c>
      <c r="B3" t="str">
        <f>HYPERLINK("tel:2062932791", "2062932791")</f>
        <v>2062932791</v>
      </c>
      <c r="C3" t="s">
        <v>25</v>
      </c>
      <c r="D3" t="s">
        <v>27</v>
      </c>
      <c r="E3" t="s">
        <v>28</v>
      </c>
      <c r="F3" t="s">
        <v>22</v>
      </c>
      <c r="G3">
        <v>98115</v>
      </c>
      <c r="H3" s="1">
        <v>46059.143206018518</v>
      </c>
      <c r="I3" t="s">
        <v>29</v>
      </c>
      <c r="J3" t="s">
        <v>30</v>
      </c>
      <c r="K3" t="s">
        <v>31</v>
      </c>
      <c r="L3">
        <v>2</v>
      </c>
      <c r="M3">
        <v>1</v>
      </c>
      <c r="N3">
        <v>740</v>
      </c>
      <c r="O3" t="s">
        <v>25</v>
      </c>
      <c r="P3" t="s">
        <v>25</v>
      </c>
      <c r="Q3">
        <v>1018901553</v>
      </c>
      <c r="R3">
        <v>522660</v>
      </c>
    </row>
    <row r="4" spans="1:18" x14ac:dyDescent="0.2">
      <c r="A4" t="s">
        <v>32</v>
      </c>
      <c r="B4" t="str">
        <f>HYPERLINK("tel:2533809296", "2533809296")</f>
        <v>2533809296</v>
      </c>
      <c r="C4" t="s">
        <v>33</v>
      </c>
      <c r="D4" t="s">
        <v>34</v>
      </c>
      <c r="E4" t="s">
        <v>35</v>
      </c>
      <c r="F4" t="s">
        <v>22</v>
      </c>
      <c r="G4">
        <v>98580</v>
      </c>
      <c r="H4" s="1">
        <v>46059.13480324074</v>
      </c>
      <c r="I4" t="s">
        <v>23</v>
      </c>
      <c r="J4" t="s">
        <v>23</v>
      </c>
      <c r="K4" t="s">
        <v>36</v>
      </c>
      <c r="L4">
        <v>3</v>
      </c>
      <c r="M4">
        <v>2</v>
      </c>
      <c r="N4">
        <v>1854</v>
      </c>
      <c r="O4">
        <v>1995</v>
      </c>
      <c r="P4" t="s">
        <v>25</v>
      </c>
      <c r="Q4">
        <v>1018888493</v>
      </c>
      <c r="R4">
        <v>522661</v>
      </c>
    </row>
    <row r="5" spans="1:18" x14ac:dyDescent="0.2">
      <c r="A5" t="s">
        <v>37</v>
      </c>
      <c r="B5" t="s">
        <v>25</v>
      </c>
      <c r="C5" t="s">
        <v>25</v>
      </c>
      <c r="D5" t="s">
        <v>38</v>
      </c>
      <c r="E5" t="s">
        <v>39</v>
      </c>
      <c r="F5" t="s">
        <v>22</v>
      </c>
      <c r="G5">
        <v>98409</v>
      </c>
      <c r="H5" s="1">
        <v>46059.143206018518</v>
      </c>
      <c r="I5" t="s">
        <v>29</v>
      </c>
      <c r="J5" t="s">
        <v>30</v>
      </c>
      <c r="K5" t="s">
        <v>40</v>
      </c>
      <c r="L5">
        <v>2</v>
      </c>
      <c r="M5">
        <v>1</v>
      </c>
      <c r="N5">
        <v>780</v>
      </c>
      <c r="O5">
        <v>2008</v>
      </c>
      <c r="P5" t="s">
        <v>25</v>
      </c>
      <c r="Q5">
        <v>1018901556</v>
      </c>
      <c r="R5">
        <v>522658</v>
      </c>
    </row>
    <row r="6" spans="1:18" x14ac:dyDescent="0.2">
      <c r="A6" t="s">
        <v>41</v>
      </c>
      <c r="B6" t="str">
        <f>HYPERLINK("tel:5109162168", "5109162168")</f>
        <v>5109162168</v>
      </c>
      <c r="C6" t="s">
        <v>25</v>
      </c>
      <c r="D6" t="s">
        <v>42</v>
      </c>
      <c r="E6" t="s">
        <v>28</v>
      </c>
      <c r="F6" t="s">
        <v>22</v>
      </c>
      <c r="G6">
        <v>98199</v>
      </c>
      <c r="H6" s="1">
        <v>46059.143206018518</v>
      </c>
      <c r="I6" t="s">
        <v>29</v>
      </c>
      <c r="J6" t="s">
        <v>30</v>
      </c>
      <c r="K6" t="s">
        <v>43</v>
      </c>
      <c r="L6">
        <v>4</v>
      </c>
      <c r="M6">
        <v>2</v>
      </c>
      <c r="N6">
        <v>1570</v>
      </c>
      <c r="O6">
        <v>1906</v>
      </c>
      <c r="P6" t="s">
        <v>25</v>
      </c>
      <c r="Q6">
        <v>1018901555</v>
      </c>
      <c r="R6">
        <v>522659</v>
      </c>
    </row>
    <row r="7" spans="1:18" x14ac:dyDescent="0.2">
      <c r="A7" t="s">
        <v>44</v>
      </c>
      <c r="B7" t="str">
        <f>HYPERLINK("tel:4255377496", "4255377496")</f>
        <v>4255377496</v>
      </c>
      <c r="C7" t="s">
        <v>45</v>
      </c>
      <c r="D7" t="s">
        <v>46</v>
      </c>
      <c r="E7" t="s">
        <v>47</v>
      </c>
      <c r="F7" t="s">
        <v>22</v>
      </c>
      <c r="G7">
        <v>98052</v>
      </c>
      <c r="H7" s="1">
        <v>46059.143206018518</v>
      </c>
      <c r="I7" t="s">
        <v>29</v>
      </c>
      <c r="J7" t="s">
        <v>30</v>
      </c>
      <c r="K7" t="s">
        <v>48</v>
      </c>
      <c r="L7">
        <v>3</v>
      </c>
      <c r="M7">
        <v>3</v>
      </c>
      <c r="N7">
        <v>2450</v>
      </c>
      <c r="O7">
        <v>1988</v>
      </c>
      <c r="P7" t="s">
        <v>25</v>
      </c>
      <c r="Q7">
        <v>1018901557</v>
      </c>
      <c r="R7">
        <v>522657</v>
      </c>
    </row>
    <row r="8" spans="1:18" x14ac:dyDescent="0.2">
      <c r="A8" t="s">
        <v>49</v>
      </c>
      <c r="B8" t="str">
        <f>HYPERLINK("tel:2064881366", "2064881366")</f>
        <v>2064881366</v>
      </c>
      <c r="C8" t="s">
        <v>25</v>
      </c>
      <c r="D8" t="s">
        <v>50</v>
      </c>
      <c r="E8" t="s">
        <v>51</v>
      </c>
      <c r="F8" t="s">
        <v>22</v>
      </c>
      <c r="G8">
        <v>98020</v>
      </c>
      <c r="H8" s="1">
        <v>46059.143206018518</v>
      </c>
      <c r="I8" t="s">
        <v>29</v>
      </c>
      <c r="J8" t="s">
        <v>30</v>
      </c>
      <c r="K8" t="s">
        <v>52</v>
      </c>
      <c r="L8">
        <v>3</v>
      </c>
      <c r="M8">
        <v>2</v>
      </c>
      <c r="N8">
        <v>1246</v>
      </c>
      <c r="O8">
        <v>1970</v>
      </c>
      <c r="P8" t="s">
        <v>25</v>
      </c>
      <c r="Q8">
        <v>1018901559</v>
      </c>
      <c r="R8">
        <v>522655</v>
      </c>
    </row>
    <row r="9" spans="1:18" x14ac:dyDescent="0.2">
      <c r="A9" t="s">
        <v>53</v>
      </c>
      <c r="B9" t="str">
        <f>HYPERLINK("tel:2064721168", "2064721168")</f>
        <v>2064721168</v>
      </c>
      <c r="C9" t="s">
        <v>54</v>
      </c>
      <c r="D9" t="s">
        <v>55</v>
      </c>
      <c r="E9" t="s">
        <v>28</v>
      </c>
      <c r="F9" t="s">
        <v>22</v>
      </c>
      <c r="G9">
        <v>98103</v>
      </c>
      <c r="H9" s="1">
        <v>46059.143206018518</v>
      </c>
      <c r="I9" t="s">
        <v>29</v>
      </c>
      <c r="J9" t="s">
        <v>30</v>
      </c>
      <c r="K9" t="s">
        <v>56</v>
      </c>
      <c r="L9">
        <v>3</v>
      </c>
      <c r="M9">
        <v>2</v>
      </c>
      <c r="N9">
        <v>2120</v>
      </c>
      <c r="O9">
        <v>1912</v>
      </c>
      <c r="P9" t="s">
        <v>25</v>
      </c>
      <c r="Q9">
        <v>1018901558</v>
      </c>
      <c r="R9">
        <v>522656</v>
      </c>
    </row>
    <row r="10" spans="1:18" x14ac:dyDescent="0.2">
      <c r="A10" t="s">
        <v>57</v>
      </c>
      <c r="B10" t="str">
        <f>HYPERLINK("tel:3609099311", "3609099311")</f>
        <v>3609099311</v>
      </c>
      <c r="C10" t="s">
        <v>25</v>
      </c>
      <c r="D10" t="s">
        <v>58</v>
      </c>
      <c r="E10" t="s">
        <v>28</v>
      </c>
      <c r="F10" t="s">
        <v>22</v>
      </c>
      <c r="G10">
        <v>98107</v>
      </c>
      <c r="H10" s="1">
        <v>46059.143206018518</v>
      </c>
      <c r="I10" t="s">
        <v>29</v>
      </c>
      <c r="J10" t="s">
        <v>30</v>
      </c>
      <c r="K10" t="s">
        <v>59</v>
      </c>
      <c r="L10">
        <v>3</v>
      </c>
      <c r="M10">
        <v>2</v>
      </c>
      <c r="N10">
        <v>1551</v>
      </c>
      <c r="O10" t="s">
        <v>25</v>
      </c>
      <c r="P10" t="s">
        <v>25</v>
      </c>
      <c r="Q10">
        <v>1018901563</v>
      </c>
      <c r="R10">
        <v>522653</v>
      </c>
    </row>
    <row r="11" spans="1:18" x14ac:dyDescent="0.2">
      <c r="A11" t="s">
        <v>60</v>
      </c>
      <c r="B11" t="str">
        <f>HYPERLINK("tel:2062769567", "2062769567")</f>
        <v>2062769567</v>
      </c>
      <c r="C11" t="s">
        <v>61</v>
      </c>
      <c r="D11" t="s">
        <v>62</v>
      </c>
      <c r="E11" t="s">
        <v>63</v>
      </c>
      <c r="F11" t="s">
        <v>22</v>
      </c>
      <c r="G11">
        <v>98003</v>
      </c>
      <c r="H11" s="1">
        <v>46059.143206018518</v>
      </c>
      <c r="I11" t="s">
        <v>29</v>
      </c>
      <c r="J11" t="s">
        <v>30</v>
      </c>
      <c r="K11" t="s">
        <v>64</v>
      </c>
      <c r="L11">
        <v>2</v>
      </c>
      <c r="M11">
        <v>1</v>
      </c>
      <c r="N11">
        <v>1710</v>
      </c>
      <c r="O11">
        <v>1963</v>
      </c>
      <c r="P11" t="s">
        <v>25</v>
      </c>
      <c r="Q11">
        <v>1018901561</v>
      </c>
      <c r="R11">
        <v>522654</v>
      </c>
    </row>
    <row r="12" spans="1:18" x14ac:dyDescent="0.2">
      <c r="A12" t="s">
        <v>65</v>
      </c>
      <c r="B12" t="str">
        <f>HYPERLINK("tel:2065521816", "2065521816")</f>
        <v>2065521816</v>
      </c>
      <c r="C12" t="s">
        <v>66</v>
      </c>
      <c r="D12" t="s">
        <v>67</v>
      </c>
      <c r="E12" t="s">
        <v>39</v>
      </c>
      <c r="F12" t="s">
        <v>22</v>
      </c>
      <c r="G12">
        <v>98408</v>
      </c>
      <c r="H12" s="1">
        <v>46059.143206018518</v>
      </c>
      <c r="I12" t="s">
        <v>29</v>
      </c>
      <c r="J12" t="s">
        <v>30</v>
      </c>
      <c r="K12" t="s">
        <v>68</v>
      </c>
      <c r="L12">
        <v>3</v>
      </c>
      <c r="M12">
        <v>3</v>
      </c>
      <c r="N12">
        <v>864</v>
      </c>
      <c r="O12">
        <v>1990</v>
      </c>
      <c r="P12" t="s">
        <v>25</v>
      </c>
      <c r="Q12">
        <v>1018901565</v>
      </c>
      <c r="R12">
        <v>522652</v>
      </c>
    </row>
    <row r="13" spans="1:18" x14ac:dyDescent="0.2">
      <c r="A13" t="s">
        <v>69</v>
      </c>
      <c r="B13" t="str">
        <f>HYPERLINK("tel:6503538578", "6503538578")</f>
        <v>6503538578</v>
      </c>
      <c r="C13" t="s">
        <v>25</v>
      </c>
      <c r="D13" t="s">
        <v>70</v>
      </c>
      <c r="E13" t="s">
        <v>28</v>
      </c>
      <c r="F13" t="s">
        <v>22</v>
      </c>
      <c r="G13">
        <v>98109</v>
      </c>
      <c r="H13" s="1">
        <v>46059.143206018518</v>
      </c>
      <c r="I13" t="s">
        <v>29</v>
      </c>
      <c r="J13" t="s">
        <v>30</v>
      </c>
      <c r="K13" t="s">
        <v>71</v>
      </c>
      <c r="L13">
        <v>2</v>
      </c>
      <c r="M13">
        <v>2</v>
      </c>
      <c r="N13">
        <v>1096</v>
      </c>
      <c r="O13">
        <v>2009</v>
      </c>
      <c r="P13" t="s">
        <v>25</v>
      </c>
      <c r="Q13">
        <v>1018901570</v>
      </c>
      <c r="R13">
        <v>522650</v>
      </c>
    </row>
    <row r="14" spans="1:18" x14ac:dyDescent="0.2">
      <c r="A14" t="s">
        <v>72</v>
      </c>
      <c r="B14" t="str">
        <f>HYPERLINK("tel:3609751035", "3609751035")</f>
        <v>3609751035</v>
      </c>
      <c r="C14" t="s">
        <v>73</v>
      </c>
      <c r="D14" t="s">
        <v>74</v>
      </c>
      <c r="E14" t="s">
        <v>75</v>
      </c>
      <c r="F14" t="s">
        <v>22</v>
      </c>
      <c r="G14">
        <v>98030</v>
      </c>
      <c r="H14" s="1">
        <v>46059.143206018518</v>
      </c>
      <c r="I14" t="s">
        <v>29</v>
      </c>
      <c r="J14" t="s">
        <v>30</v>
      </c>
      <c r="K14" t="s">
        <v>76</v>
      </c>
      <c r="L14">
        <v>3</v>
      </c>
      <c r="M14">
        <v>2</v>
      </c>
      <c r="N14">
        <v>1609</v>
      </c>
      <c r="O14" t="s">
        <v>25</v>
      </c>
      <c r="P14" t="s">
        <v>25</v>
      </c>
      <c r="Q14">
        <v>1018901568</v>
      </c>
      <c r="R14">
        <v>522651</v>
      </c>
    </row>
    <row r="15" spans="1:18" x14ac:dyDescent="0.2">
      <c r="A15" t="s">
        <v>77</v>
      </c>
      <c r="B15" t="str">
        <f>HYPERLINK("tel:4058702970", "4058702970")</f>
        <v>4058702970</v>
      </c>
      <c r="C15" t="s">
        <v>78</v>
      </c>
      <c r="D15" t="s">
        <v>79</v>
      </c>
      <c r="E15" t="s">
        <v>80</v>
      </c>
      <c r="F15" t="s">
        <v>22</v>
      </c>
      <c r="G15">
        <v>98516</v>
      </c>
      <c r="H15" s="1">
        <v>46059.143206018518</v>
      </c>
      <c r="I15" t="s">
        <v>29</v>
      </c>
      <c r="J15" t="s">
        <v>30</v>
      </c>
      <c r="K15" t="s">
        <v>81</v>
      </c>
      <c r="L15">
        <v>4</v>
      </c>
      <c r="M15">
        <v>2</v>
      </c>
      <c r="N15">
        <v>2358</v>
      </c>
      <c r="O15">
        <v>2023</v>
      </c>
      <c r="P15" t="s">
        <v>25</v>
      </c>
      <c r="Q15">
        <v>1018901574</v>
      </c>
      <c r="R15">
        <v>522648</v>
      </c>
    </row>
    <row r="16" spans="1:18" x14ac:dyDescent="0.2">
      <c r="A16" t="s">
        <v>82</v>
      </c>
      <c r="B16" t="s">
        <v>25</v>
      </c>
      <c r="C16" t="s">
        <v>25</v>
      </c>
      <c r="D16" t="s">
        <v>83</v>
      </c>
      <c r="E16" t="s">
        <v>28</v>
      </c>
      <c r="F16" t="s">
        <v>22</v>
      </c>
      <c r="G16">
        <v>98146</v>
      </c>
      <c r="H16" s="1">
        <v>46059.143206018518</v>
      </c>
      <c r="I16" t="s">
        <v>29</v>
      </c>
      <c r="J16" t="s">
        <v>30</v>
      </c>
      <c r="K16" t="s">
        <v>84</v>
      </c>
      <c r="L16">
        <v>2</v>
      </c>
      <c r="M16">
        <v>1</v>
      </c>
      <c r="N16">
        <v>900</v>
      </c>
      <c r="O16" t="s">
        <v>25</v>
      </c>
      <c r="P16" t="s">
        <v>25</v>
      </c>
      <c r="Q16">
        <v>1018901572</v>
      </c>
      <c r="R16">
        <v>522649</v>
      </c>
    </row>
    <row r="17" spans="1:18" x14ac:dyDescent="0.2">
      <c r="A17" t="s">
        <v>85</v>
      </c>
      <c r="B17" t="str">
        <f>HYPERLINK("tel:6195873527", "6195873527")</f>
        <v>6195873527</v>
      </c>
      <c r="C17" t="s">
        <v>86</v>
      </c>
      <c r="D17" t="s">
        <v>87</v>
      </c>
      <c r="E17" t="s">
        <v>88</v>
      </c>
      <c r="F17" t="s">
        <v>22</v>
      </c>
      <c r="G17">
        <v>98277</v>
      </c>
      <c r="H17" s="1">
        <v>46059.143206018518</v>
      </c>
      <c r="I17" t="s">
        <v>29</v>
      </c>
      <c r="J17" t="s">
        <v>30</v>
      </c>
      <c r="K17" t="s">
        <v>89</v>
      </c>
      <c r="L17">
        <v>3</v>
      </c>
      <c r="M17">
        <v>1</v>
      </c>
      <c r="N17">
        <v>1174</v>
      </c>
      <c r="O17">
        <v>1958</v>
      </c>
      <c r="P17" t="s">
        <v>25</v>
      </c>
      <c r="Q17">
        <v>1018901578</v>
      </c>
      <c r="R17">
        <v>522646</v>
      </c>
    </row>
    <row r="18" spans="1:18" x14ac:dyDescent="0.2">
      <c r="A18" t="s">
        <v>90</v>
      </c>
      <c r="B18" t="str">
        <f>HYPERLINK("tel:2063131207", "2063131207")</f>
        <v>2063131207</v>
      </c>
      <c r="C18" t="s">
        <v>25</v>
      </c>
      <c r="D18" t="s">
        <v>91</v>
      </c>
      <c r="E18" t="s">
        <v>28</v>
      </c>
      <c r="F18" t="s">
        <v>22</v>
      </c>
      <c r="G18">
        <v>98102</v>
      </c>
      <c r="H18" s="1">
        <v>46059.143206018518</v>
      </c>
      <c r="I18" t="s">
        <v>29</v>
      </c>
      <c r="J18" t="s">
        <v>30</v>
      </c>
      <c r="K18" t="s">
        <v>92</v>
      </c>
      <c r="L18">
        <v>2</v>
      </c>
      <c r="M18">
        <v>1</v>
      </c>
      <c r="N18">
        <v>0</v>
      </c>
      <c r="O18" t="s">
        <v>25</v>
      </c>
      <c r="P18" t="s">
        <v>25</v>
      </c>
      <c r="Q18">
        <v>1018901576</v>
      </c>
      <c r="R18">
        <v>522647</v>
      </c>
    </row>
    <row r="19" spans="1:18" x14ac:dyDescent="0.2">
      <c r="A19" t="s">
        <v>93</v>
      </c>
      <c r="B19" t="str">
        <f>HYPERLINK("tel:2063316621", "2063316621")</f>
        <v>2063316621</v>
      </c>
      <c r="C19" t="s">
        <v>94</v>
      </c>
      <c r="D19" t="s">
        <v>95</v>
      </c>
      <c r="E19" t="s">
        <v>96</v>
      </c>
      <c r="F19" t="s">
        <v>22</v>
      </c>
      <c r="G19">
        <v>98155</v>
      </c>
      <c r="H19" s="1">
        <v>46059.143206018518</v>
      </c>
      <c r="I19" t="s">
        <v>29</v>
      </c>
      <c r="J19" t="s">
        <v>30</v>
      </c>
      <c r="K19" t="s">
        <v>97</v>
      </c>
      <c r="L19">
        <v>4</v>
      </c>
      <c r="M19">
        <v>2</v>
      </c>
      <c r="N19">
        <v>2210</v>
      </c>
      <c r="O19">
        <v>1973</v>
      </c>
      <c r="P19" t="s">
        <v>25</v>
      </c>
      <c r="Q19">
        <v>1018901580</v>
      </c>
      <c r="R19">
        <v>522645</v>
      </c>
    </row>
    <row r="20" spans="1:18" x14ac:dyDescent="0.2">
      <c r="A20" t="s">
        <v>98</v>
      </c>
      <c r="B20" t="str">
        <f>HYPERLINK("tel:2062347678", "2062347678")</f>
        <v>2062347678</v>
      </c>
      <c r="C20" t="s">
        <v>99</v>
      </c>
      <c r="D20" t="s">
        <v>100</v>
      </c>
      <c r="E20" t="s">
        <v>101</v>
      </c>
      <c r="F20" t="s">
        <v>22</v>
      </c>
      <c r="G20">
        <v>98087</v>
      </c>
      <c r="H20" s="1">
        <v>46059.143217592595</v>
      </c>
      <c r="I20" t="s">
        <v>29</v>
      </c>
      <c r="J20" t="s">
        <v>30</v>
      </c>
      <c r="K20" t="s">
        <v>102</v>
      </c>
      <c r="L20">
        <v>3</v>
      </c>
      <c r="M20">
        <v>2</v>
      </c>
      <c r="N20">
        <v>1616</v>
      </c>
      <c r="O20">
        <v>1935</v>
      </c>
      <c r="P20" t="s">
        <v>25</v>
      </c>
      <c r="Q20">
        <v>1018901584</v>
      </c>
      <c r="R20">
        <v>522643</v>
      </c>
    </row>
    <row r="21" spans="1:18" x14ac:dyDescent="0.2">
      <c r="A21" t="s">
        <v>103</v>
      </c>
      <c r="B21" t="str">
        <f>HYPERLINK("tel:4252556053", "4252556053")</f>
        <v>4252556053</v>
      </c>
      <c r="C21" t="s">
        <v>104</v>
      </c>
      <c r="D21" t="s">
        <v>105</v>
      </c>
      <c r="E21" t="s">
        <v>106</v>
      </c>
      <c r="F21" t="s">
        <v>22</v>
      </c>
      <c r="G21">
        <v>98007</v>
      </c>
      <c r="H21" s="1">
        <v>46059.143217592595</v>
      </c>
      <c r="I21" t="s">
        <v>29</v>
      </c>
      <c r="J21" t="s">
        <v>30</v>
      </c>
      <c r="K21" t="s">
        <v>107</v>
      </c>
      <c r="L21">
        <v>3</v>
      </c>
      <c r="M21">
        <v>2</v>
      </c>
      <c r="N21">
        <v>2720</v>
      </c>
      <c r="O21">
        <v>1979</v>
      </c>
      <c r="P21" t="s">
        <v>25</v>
      </c>
      <c r="Q21">
        <v>1018901582</v>
      </c>
      <c r="R21">
        <v>522644</v>
      </c>
    </row>
    <row r="22" spans="1:18" x14ac:dyDescent="0.2">
      <c r="A22" t="s">
        <v>108</v>
      </c>
      <c r="B22" t="str">
        <f>HYPERLINK("tel:2067864577", "2067864577")</f>
        <v>2067864577</v>
      </c>
      <c r="C22" t="s">
        <v>25</v>
      </c>
      <c r="D22" t="s">
        <v>109</v>
      </c>
      <c r="E22" t="s">
        <v>51</v>
      </c>
      <c r="F22" t="s">
        <v>22</v>
      </c>
      <c r="G22">
        <v>98020</v>
      </c>
      <c r="H22" s="1">
        <v>46059.143217592595</v>
      </c>
      <c r="I22" t="s">
        <v>29</v>
      </c>
      <c r="J22" t="s">
        <v>30</v>
      </c>
      <c r="K22" t="s">
        <v>110</v>
      </c>
      <c r="L22">
        <v>2</v>
      </c>
      <c r="M22">
        <v>1</v>
      </c>
      <c r="N22">
        <v>700</v>
      </c>
      <c r="O22" t="s">
        <v>25</v>
      </c>
      <c r="P22" t="s">
        <v>25</v>
      </c>
      <c r="Q22">
        <v>1018901589</v>
      </c>
      <c r="R22">
        <v>522641</v>
      </c>
    </row>
    <row r="23" spans="1:18" x14ac:dyDescent="0.2">
      <c r="A23" t="s">
        <v>111</v>
      </c>
      <c r="B23" t="str">
        <f>HYPERLINK("tel:2067021852", "2067021852")</f>
        <v>2067021852</v>
      </c>
      <c r="C23" t="s">
        <v>25</v>
      </c>
      <c r="D23" t="s">
        <v>112</v>
      </c>
      <c r="E23" t="s">
        <v>113</v>
      </c>
      <c r="F23" t="s">
        <v>22</v>
      </c>
      <c r="G23">
        <v>98201</v>
      </c>
      <c r="H23" s="1">
        <v>46059.143217592595</v>
      </c>
      <c r="I23" t="s">
        <v>29</v>
      </c>
      <c r="J23" t="s">
        <v>30</v>
      </c>
      <c r="K23" t="s">
        <v>114</v>
      </c>
      <c r="L23">
        <v>4</v>
      </c>
      <c r="M23">
        <v>3</v>
      </c>
      <c r="N23">
        <v>1420</v>
      </c>
      <c r="O23" t="s">
        <v>25</v>
      </c>
      <c r="P23" t="s">
        <v>25</v>
      </c>
      <c r="Q23">
        <v>1018901587</v>
      </c>
      <c r="R23">
        <v>522642</v>
      </c>
    </row>
    <row r="24" spans="1:18" x14ac:dyDescent="0.2">
      <c r="A24" t="s">
        <v>115</v>
      </c>
      <c r="B24" t="str">
        <f>HYPERLINK("tel:4256523366", "4256523366")</f>
        <v>4256523366</v>
      </c>
      <c r="C24" t="s">
        <v>116</v>
      </c>
      <c r="D24" t="s">
        <v>117</v>
      </c>
      <c r="E24" t="s">
        <v>118</v>
      </c>
      <c r="F24" t="s">
        <v>22</v>
      </c>
      <c r="G24">
        <v>98029</v>
      </c>
      <c r="H24" s="1">
        <v>46059.143217592595</v>
      </c>
      <c r="I24" t="s">
        <v>29</v>
      </c>
      <c r="J24" t="s">
        <v>30</v>
      </c>
      <c r="K24" t="s">
        <v>119</v>
      </c>
      <c r="L24">
        <v>4</v>
      </c>
      <c r="M24">
        <v>4</v>
      </c>
      <c r="N24">
        <v>4010</v>
      </c>
      <c r="O24">
        <v>2016</v>
      </c>
      <c r="P24" t="s">
        <v>25</v>
      </c>
      <c r="Q24">
        <v>1018901590</v>
      </c>
      <c r="R24">
        <v>522640</v>
      </c>
    </row>
    <row r="25" spans="1:18" x14ac:dyDescent="0.2">
      <c r="A25" t="s">
        <v>120</v>
      </c>
      <c r="B25" t="str">
        <f>HYPERLINK("tel:3603299527", "3603299527")</f>
        <v>3603299527</v>
      </c>
      <c r="C25" t="s">
        <v>25</v>
      </c>
      <c r="D25" t="s">
        <v>121</v>
      </c>
      <c r="E25" t="s">
        <v>28</v>
      </c>
      <c r="F25" t="s">
        <v>22</v>
      </c>
      <c r="G25">
        <v>98117</v>
      </c>
      <c r="H25" s="1">
        <v>46059.143217592595</v>
      </c>
      <c r="I25" t="s">
        <v>29</v>
      </c>
      <c r="J25" t="s">
        <v>30</v>
      </c>
      <c r="K25" t="s">
        <v>122</v>
      </c>
      <c r="L25">
        <v>1</v>
      </c>
      <c r="M25">
        <v>1</v>
      </c>
      <c r="N25">
        <v>475</v>
      </c>
      <c r="O25" t="s">
        <v>25</v>
      </c>
      <c r="P25" t="s">
        <v>25</v>
      </c>
      <c r="Q25">
        <v>1018901595</v>
      </c>
      <c r="R25">
        <v>522638</v>
      </c>
    </row>
    <row r="26" spans="1:18" x14ac:dyDescent="0.2">
      <c r="A26" t="s">
        <v>123</v>
      </c>
      <c r="B26" t="str">
        <f>HYPERLINK("tel:3606335662", "3606335662")</f>
        <v>3606335662</v>
      </c>
      <c r="C26" t="s">
        <v>124</v>
      </c>
      <c r="D26" t="s">
        <v>125</v>
      </c>
      <c r="E26" t="s">
        <v>126</v>
      </c>
      <c r="F26" t="s">
        <v>22</v>
      </c>
      <c r="G26">
        <v>98312</v>
      </c>
      <c r="H26" s="1">
        <v>46059.143217592595</v>
      </c>
      <c r="I26" t="s">
        <v>29</v>
      </c>
      <c r="J26" t="s">
        <v>30</v>
      </c>
      <c r="K26" t="s">
        <v>127</v>
      </c>
      <c r="L26">
        <v>1</v>
      </c>
      <c r="M26">
        <v>1</v>
      </c>
      <c r="N26">
        <v>2017</v>
      </c>
      <c r="O26">
        <v>2010</v>
      </c>
      <c r="P26" t="s">
        <v>25</v>
      </c>
      <c r="Q26">
        <v>1018901592</v>
      </c>
      <c r="R26">
        <v>522639</v>
      </c>
    </row>
    <row r="27" spans="1:18" x14ac:dyDescent="0.2">
      <c r="A27" t="s">
        <v>128</v>
      </c>
      <c r="B27" t="str">
        <f>HYPERLINK("tel:4255852344", "4255852344")</f>
        <v>4255852344</v>
      </c>
      <c r="C27" t="s">
        <v>25</v>
      </c>
      <c r="D27" t="s">
        <v>129</v>
      </c>
      <c r="E27" t="s">
        <v>101</v>
      </c>
      <c r="F27" t="s">
        <v>22</v>
      </c>
      <c r="G27">
        <v>98087</v>
      </c>
      <c r="H27" s="1">
        <v>46059.143217592595</v>
      </c>
      <c r="I27" t="s">
        <v>29</v>
      </c>
      <c r="J27" t="s">
        <v>30</v>
      </c>
      <c r="K27" t="s">
        <v>130</v>
      </c>
      <c r="L27">
        <v>4</v>
      </c>
      <c r="M27">
        <v>4</v>
      </c>
      <c r="N27">
        <v>1843</v>
      </c>
      <c r="O27">
        <v>2021</v>
      </c>
      <c r="P27" t="s">
        <v>25</v>
      </c>
      <c r="Q27">
        <v>1018901599</v>
      </c>
      <c r="R27">
        <v>522636</v>
      </c>
    </row>
    <row r="28" spans="1:18" x14ac:dyDescent="0.2">
      <c r="A28" t="s">
        <v>131</v>
      </c>
      <c r="B28" t="str">
        <f>HYPERLINK("tel:3096573993", "3096573993")</f>
        <v>3096573993</v>
      </c>
      <c r="C28" t="s">
        <v>132</v>
      </c>
      <c r="D28" t="s">
        <v>133</v>
      </c>
      <c r="E28" t="s">
        <v>134</v>
      </c>
      <c r="F28" t="s">
        <v>22</v>
      </c>
      <c r="G28">
        <v>98012</v>
      </c>
      <c r="H28" s="1">
        <v>46059.143217592595</v>
      </c>
      <c r="I28" t="s">
        <v>29</v>
      </c>
      <c r="J28" t="s">
        <v>30</v>
      </c>
      <c r="K28" t="s">
        <v>135</v>
      </c>
      <c r="L28">
        <v>3</v>
      </c>
      <c r="M28">
        <v>2</v>
      </c>
      <c r="N28">
        <v>1114</v>
      </c>
      <c r="O28">
        <v>1988</v>
      </c>
      <c r="P28" t="s">
        <v>25</v>
      </c>
      <c r="Q28">
        <v>1018901597</v>
      </c>
      <c r="R28">
        <v>522637</v>
      </c>
    </row>
    <row r="29" spans="1:18" x14ac:dyDescent="0.2">
      <c r="A29" t="s">
        <v>136</v>
      </c>
      <c r="B29" t="str">
        <f>HYPERLINK("tel:2066190560", "2066190560")</f>
        <v>2066190560</v>
      </c>
      <c r="C29" t="s">
        <v>137</v>
      </c>
      <c r="D29" t="s">
        <v>138</v>
      </c>
      <c r="E29" t="s">
        <v>28</v>
      </c>
      <c r="F29" t="s">
        <v>22</v>
      </c>
      <c r="G29">
        <v>98107</v>
      </c>
      <c r="H29" s="1">
        <v>46059.143217592595</v>
      </c>
      <c r="I29" t="s">
        <v>29</v>
      </c>
      <c r="J29" t="s">
        <v>30</v>
      </c>
      <c r="K29" t="s">
        <v>139</v>
      </c>
      <c r="L29">
        <v>0</v>
      </c>
      <c r="M29">
        <v>1</v>
      </c>
      <c r="N29">
        <v>439</v>
      </c>
      <c r="O29">
        <v>2007</v>
      </c>
      <c r="P29" t="s">
        <v>25</v>
      </c>
      <c r="Q29">
        <v>1018901603</v>
      </c>
      <c r="R29">
        <v>522634</v>
      </c>
    </row>
    <row r="30" spans="1:18" x14ac:dyDescent="0.2">
      <c r="A30" t="s">
        <v>140</v>
      </c>
      <c r="B30" t="str">
        <f>HYPERLINK("tel:2532739811", "2532739811")</f>
        <v>2532739811</v>
      </c>
      <c r="C30" t="s">
        <v>141</v>
      </c>
      <c r="D30" t="s">
        <v>142</v>
      </c>
      <c r="E30" t="s">
        <v>143</v>
      </c>
      <c r="F30" t="s">
        <v>22</v>
      </c>
      <c r="G30">
        <v>98374</v>
      </c>
      <c r="H30" s="1">
        <v>46059.143217592595</v>
      </c>
      <c r="I30" t="s">
        <v>29</v>
      </c>
      <c r="J30" t="s">
        <v>30</v>
      </c>
      <c r="K30" t="s">
        <v>144</v>
      </c>
      <c r="L30">
        <v>3</v>
      </c>
      <c r="M30">
        <v>2</v>
      </c>
      <c r="N30">
        <v>2900</v>
      </c>
      <c r="O30" t="s">
        <v>25</v>
      </c>
      <c r="P30" t="s">
        <v>25</v>
      </c>
      <c r="Q30">
        <v>1018901601</v>
      </c>
      <c r="R30">
        <v>522635</v>
      </c>
    </row>
    <row r="31" spans="1:18" x14ac:dyDescent="0.2">
      <c r="A31" t="s">
        <v>82</v>
      </c>
      <c r="B31" t="s">
        <v>25</v>
      </c>
      <c r="C31" t="s">
        <v>25</v>
      </c>
      <c r="D31" t="s">
        <v>145</v>
      </c>
      <c r="E31" t="s">
        <v>28</v>
      </c>
      <c r="F31" t="s">
        <v>22</v>
      </c>
      <c r="G31">
        <v>98115</v>
      </c>
      <c r="H31" s="1">
        <v>46059.143217592595</v>
      </c>
      <c r="I31" t="s">
        <v>29</v>
      </c>
      <c r="J31" t="s">
        <v>30</v>
      </c>
      <c r="K31" t="s">
        <v>146</v>
      </c>
      <c r="L31">
        <v>2</v>
      </c>
      <c r="M31">
        <v>1</v>
      </c>
      <c r="N31">
        <v>1100</v>
      </c>
      <c r="O31" t="s">
        <v>25</v>
      </c>
      <c r="P31" t="s">
        <v>25</v>
      </c>
      <c r="Q31">
        <v>1018901605</v>
      </c>
      <c r="R31">
        <v>522633</v>
      </c>
    </row>
    <row r="32" spans="1:18" x14ac:dyDescent="0.2">
      <c r="A32" t="s">
        <v>147</v>
      </c>
      <c r="B32" t="str">
        <f>HYPERLINK("tel:4255854692", "4255854692")</f>
        <v>4255854692</v>
      </c>
      <c r="C32" t="s">
        <v>25</v>
      </c>
      <c r="D32" t="s">
        <v>148</v>
      </c>
      <c r="E32" t="s">
        <v>149</v>
      </c>
      <c r="F32" t="s">
        <v>22</v>
      </c>
      <c r="G32">
        <v>98074</v>
      </c>
      <c r="H32" s="1">
        <v>46059.143217592595</v>
      </c>
      <c r="I32" t="s">
        <v>29</v>
      </c>
      <c r="J32" t="s">
        <v>30</v>
      </c>
      <c r="K32" t="s">
        <v>150</v>
      </c>
      <c r="L32">
        <v>2</v>
      </c>
      <c r="M32">
        <v>2</v>
      </c>
      <c r="N32">
        <v>966</v>
      </c>
      <c r="O32">
        <v>2000</v>
      </c>
      <c r="P32" t="s">
        <v>25</v>
      </c>
      <c r="Q32">
        <v>1018901609</v>
      </c>
      <c r="R32">
        <v>522631</v>
      </c>
    </row>
    <row r="33" spans="1:18" x14ac:dyDescent="0.2">
      <c r="A33" t="s">
        <v>151</v>
      </c>
      <c r="B33" t="str">
        <f>HYPERLINK("tel:2063122856", "2063122856")</f>
        <v>2063122856</v>
      </c>
      <c r="C33" t="s">
        <v>25</v>
      </c>
      <c r="D33" t="s">
        <v>152</v>
      </c>
      <c r="E33" t="s">
        <v>153</v>
      </c>
      <c r="F33" t="s">
        <v>22</v>
      </c>
      <c r="G33">
        <v>98166</v>
      </c>
      <c r="H33" s="1">
        <v>46059.143217592595</v>
      </c>
      <c r="I33" t="s">
        <v>29</v>
      </c>
      <c r="J33" t="s">
        <v>30</v>
      </c>
      <c r="K33" t="s">
        <v>154</v>
      </c>
      <c r="L33">
        <v>2</v>
      </c>
      <c r="M33">
        <v>1</v>
      </c>
      <c r="N33">
        <v>1400</v>
      </c>
      <c r="O33" t="s">
        <v>25</v>
      </c>
      <c r="P33" t="s">
        <v>25</v>
      </c>
      <c r="Q33">
        <v>1018901607</v>
      </c>
      <c r="R33">
        <v>522632</v>
      </c>
    </row>
    <row r="34" spans="1:18" x14ac:dyDescent="0.2">
      <c r="A34" t="s">
        <v>155</v>
      </c>
      <c r="B34" t="str">
        <f>HYPERLINK("tel:2068497936", "2068497936")</f>
        <v>2068497936</v>
      </c>
      <c r="C34" t="s">
        <v>156</v>
      </c>
      <c r="D34" t="s">
        <v>157</v>
      </c>
      <c r="E34" t="s">
        <v>158</v>
      </c>
      <c r="F34" t="s">
        <v>22</v>
      </c>
      <c r="G34">
        <v>98040</v>
      </c>
      <c r="H34" s="1">
        <v>46059.143217592595</v>
      </c>
      <c r="I34" t="s">
        <v>29</v>
      </c>
      <c r="J34" t="s">
        <v>30</v>
      </c>
      <c r="K34" t="s">
        <v>159</v>
      </c>
      <c r="L34">
        <v>2</v>
      </c>
      <c r="M34">
        <v>1</v>
      </c>
      <c r="N34">
        <v>1020</v>
      </c>
      <c r="O34">
        <v>1996</v>
      </c>
      <c r="P34" t="s">
        <v>25</v>
      </c>
      <c r="Q34">
        <v>1018901613</v>
      </c>
      <c r="R34">
        <v>522629</v>
      </c>
    </row>
    <row r="35" spans="1:18" x14ac:dyDescent="0.2">
      <c r="A35" t="s">
        <v>160</v>
      </c>
      <c r="B35" t="str">
        <f>HYPERLINK("tel:2066726996", "2066726996")</f>
        <v>2066726996</v>
      </c>
      <c r="C35" t="s">
        <v>25</v>
      </c>
      <c r="D35" t="s">
        <v>161</v>
      </c>
      <c r="E35" t="s">
        <v>113</v>
      </c>
      <c r="F35" t="s">
        <v>22</v>
      </c>
      <c r="G35">
        <v>98204</v>
      </c>
      <c r="H35" s="1">
        <v>46059.143217592595</v>
      </c>
      <c r="I35" t="s">
        <v>29</v>
      </c>
      <c r="J35" t="s">
        <v>30</v>
      </c>
      <c r="K35" t="s">
        <v>162</v>
      </c>
      <c r="L35">
        <v>1</v>
      </c>
      <c r="M35">
        <v>1</v>
      </c>
      <c r="N35">
        <v>598</v>
      </c>
      <c r="O35">
        <v>1980</v>
      </c>
      <c r="P35" t="s">
        <v>25</v>
      </c>
      <c r="Q35">
        <v>1018901611</v>
      </c>
      <c r="R35">
        <v>522630</v>
      </c>
    </row>
    <row r="36" spans="1:18" x14ac:dyDescent="0.2">
      <c r="A36" t="s">
        <v>163</v>
      </c>
      <c r="B36" t="str">
        <f>HYPERLINK("tel:2533702245", "2533702245")</f>
        <v>2533702245</v>
      </c>
      <c r="C36" t="s">
        <v>25</v>
      </c>
      <c r="D36" t="s">
        <v>164</v>
      </c>
      <c r="E36" t="s">
        <v>39</v>
      </c>
      <c r="F36" t="s">
        <v>22</v>
      </c>
      <c r="G36">
        <v>98409</v>
      </c>
      <c r="H36" s="1">
        <v>46059.143217592595</v>
      </c>
      <c r="I36" t="s">
        <v>29</v>
      </c>
      <c r="J36" t="s">
        <v>30</v>
      </c>
      <c r="K36" t="s">
        <v>165</v>
      </c>
      <c r="L36">
        <v>2</v>
      </c>
      <c r="M36">
        <v>1</v>
      </c>
      <c r="N36">
        <v>800</v>
      </c>
      <c r="O36" t="s">
        <v>25</v>
      </c>
      <c r="P36" t="s">
        <v>25</v>
      </c>
      <c r="Q36">
        <v>1018901615</v>
      </c>
      <c r="R36">
        <v>522628</v>
      </c>
    </row>
    <row r="37" spans="1:18" x14ac:dyDescent="0.2">
      <c r="A37" t="s">
        <v>166</v>
      </c>
      <c r="B37" t="str">
        <f>HYPERLINK("tel:4257808372", "4257808372")</f>
        <v>4257808372</v>
      </c>
      <c r="C37" t="s">
        <v>167</v>
      </c>
      <c r="D37" t="s">
        <v>168</v>
      </c>
      <c r="E37" t="s">
        <v>134</v>
      </c>
      <c r="F37" t="s">
        <v>22</v>
      </c>
      <c r="G37">
        <v>98012</v>
      </c>
      <c r="H37" s="1">
        <v>46059.143217592595</v>
      </c>
      <c r="I37" t="s">
        <v>29</v>
      </c>
      <c r="J37" t="s">
        <v>30</v>
      </c>
      <c r="K37" t="s">
        <v>169</v>
      </c>
      <c r="L37">
        <v>3</v>
      </c>
      <c r="M37">
        <v>2</v>
      </c>
      <c r="N37">
        <v>800</v>
      </c>
      <c r="O37">
        <v>2001</v>
      </c>
      <c r="P37" t="s">
        <v>25</v>
      </c>
      <c r="Q37">
        <v>1018901619</v>
      </c>
      <c r="R37">
        <v>522626</v>
      </c>
    </row>
    <row r="38" spans="1:18" x14ac:dyDescent="0.2">
      <c r="A38" t="s">
        <v>170</v>
      </c>
      <c r="B38" t="str">
        <f>HYPERLINK("tel:2536705950", "2536705950")</f>
        <v>2536705950</v>
      </c>
      <c r="C38" t="s">
        <v>25</v>
      </c>
      <c r="D38" t="s">
        <v>171</v>
      </c>
      <c r="E38" t="s">
        <v>172</v>
      </c>
      <c r="F38" t="s">
        <v>22</v>
      </c>
      <c r="G38">
        <v>98198</v>
      </c>
      <c r="H38" s="1">
        <v>46059.143217592595</v>
      </c>
      <c r="I38" t="s">
        <v>29</v>
      </c>
      <c r="J38" t="s">
        <v>30</v>
      </c>
      <c r="K38" t="s">
        <v>173</v>
      </c>
      <c r="L38">
        <v>3</v>
      </c>
      <c r="M38">
        <v>2</v>
      </c>
      <c r="N38">
        <v>1564</v>
      </c>
      <c r="O38">
        <v>2006</v>
      </c>
      <c r="P38" t="s">
        <v>25</v>
      </c>
      <c r="Q38">
        <v>1018901617</v>
      </c>
      <c r="R38">
        <v>522627</v>
      </c>
    </row>
    <row r="39" spans="1:18" x14ac:dyDescent="0.2">
      <c r="A39" t="s">
        <v>174</v>
      </c>
      <c r="B39" t="str">
        <f>HYPERLINK("tel:2064997274", "2064997274")</f>
        <v>2064997274</v>
      </c>
      <c r="C39" t="s">
        <v>175</v>
      </c>
      <c r="D39" t="s">
        <v>176</v>
      </c>
      <c r="E39" t="s">
        <v>28</v>
      </c>
      <c r="F39" t="s">
        <v>22</v>
      </c>
      <c r="G39">
        <v>98198</v>
      </c>
      <c r="H39" s="1">
        <v>46059.143229166664</v>
      </c>
      <c r="I39" t="s">
        <v>29</v>
      </c>
      <c r="J39" t="s">
        <v>30</v>
      </c>
      <c r="K39" t="s">
        <v>177</v>
      </c>
      <c r="L39">
        <v>1</v>
      </c>
      <c r="M39">
        <v>1</v>
      </c>
      <c r="N39">
        <v>1260</v>
      </c>
      <c r="O39" t="s">
        <v>25</v>
      </c>
      <c r="P39" t="s">
        <v>25</v>
      </c>
      <c r="Q39">
        <v>1018901624</v>
      </c>
      <c r="R39">
        <v>522624</v>
      </c>
    </row>
    <row r="40" spans="1:18" x14ac:dyDescent="0.2">
      <c r="A40" t="s">
        <v>178</v>
      </c>
      <c r="B40" t="str">
        <f>HYPERLINK("tel:2065106870", "2065106870")</f>
        <v>2065106870</v>
      </c>
      <c r="C40" t="s">
        <v>25</v>
      </c>
      <c r="D40" t="s">
        <v>179</v>
      </c>
      <c r="E40" t="s">
        <v>28</v>
      </c>
      <c r="F40" t="s">
        <v>22</v>
      </c>
      <c r="G40">
        <v>98107</v>
      </c>
      <c r="H40" s="1">
        <v>46059.143217592595</v>
      </c>
      <c r="I40" t="s">
        <v>29</v>
      </c>
      <c r="J40" t="s">
        <v>30</v>
      </c>
      <c r="K40" t="s">
        <v>180</v>
      </c>
      <c r="L40">
        <v>2</v>
      </c>
      <c r="M40">
        <v>2</v>
      </c>
      <c r="N40">
        <v>950</v>
      </c>
      <c r="O40" t="s">
        <v>25</v>
      </c>
      <c r="P40" t="s">
        <v>25</v>
      </c>
      <c r="Q40">
        <v>1018901622</v>
      </c>
      <c r="R40">
        <v>522625</v>
      </c>
    </row>
    <row r="41" spans="1:18" x14ac:dyDescent="0.2">
      <c r="A41" t="s">
        <v>181</v>
      </c>
      <c r="B41" t="str">
        <f>HYPERLINK("tel:7788229447", "7788229447")</f>
        <v>7788229447</v>
      </c>
      <c r="C41" t="s">
        <v>25</v>
      </c>
      <c r="D41" t="s">
        <v>182</v>
      </c>
      <c r="E41" t="s">
        <v>28</v>
      </c>
      <c r="F41" t="s">
        <v>22</v>
      </c>
      <c r="G41">
        <v>98108</v>
      </c>
      <c r="H41" s="1">
        <v>46059.143229166664</v>
      </c>
      <c r="I41" t="s">
        <v>29</v>
      </c>
      <c r="J41" t="s">
        <v>30</v>
      </c>
      <c r="K41" t="s">
        <v>183</v>
      </c>
      <c r="L41">
        <v>3</v>
      </c>
      <c r="M41">
        <v>1</v>
      </c>
      <c r="N41">
        <v>1010</v>
      </c>
      <c r="O41">
        <v>1968</v>
      </c>
      <c r="P41" t="s">
        <v>25</v>
      </c>
      <c r="Q41">
        <v>1018901628</v>
      </c>
      <c r="R41">
        <v>522622</v>
      </c>
    </row>
    <row r="42" spans="1:18" x14ac:dyDescent="0.2">
      <c r="A42" t="s">
        <v>184</v>
      </c>
      <c r="B42" t="str">
        <f>HYPERLINK("tel:4086424499", "4086424499")</f>
        <v>4086424499</v>
      </c>
      <c r="C42" t="s">
        <v>185</v>
      </c>
      <c r="D42" t="s">
        <v>186</v>
      </c>
      <c r="E42" t="s">
        <v>187</v>
      </c>
      <c r="F42" t="s">
        <v>22</v>
      </c>
      <c r="G42">
        <v>98056</v>
      </c>
      <c r="H42" s="1">
        <v>46059.143229166664</v>
      </c>
      <c r="I42" t="s">
        <v>29</v>
      </c>
      <c r="J42" t="s">
        <v>30</v>
      </c>
      <c r="K42" t="s">
        <v>188</v>
      </c>
      <c r="L42">
        <v>4</v>
      </c>
      <c r="M42">
        <v>2</v>
      </c>
      <c r="N42">
        <v>1630</v>
      </c>
      <c r="O42">
        <v>2003</v>
      </c>
      <c r="P42" t="s">
        <v>25</v>
      </c>
      <c r="Q42">
        <v>1018901626</v>
      </c>
      <c r="R42">
        <v>522623</v>
      </c>
    </row>
    <row r="43" spans="1:18" x14ac:dyDescent="0.2">
      <c r="A43" t="s">
        <v>189</v>
      </c>
      <c r="B43" t="str">
        <f>HYPERLINK("tel:4256283204", "4256283204")</f>
        <v>4256283204</v>
      </c>
      <c r="C43" t="s">
        <v>25</v>
      </c>
      <c r="D43" t="s">
        <v>190</v>
      </c>
      <c r="E43" t="s">
        <v>143</v>
      </c>
      <c r="F43" t="s">
        <v>22</v>
      </c>
      <c r="G43">
        <v>98371</v>
      </c>
      <c r="H43" s="1">
        <v>46059.143229166664</v>
      </c>
      <c r="I43" t="s">
        <v>29</v>
      </c>
      <c r="J43" t="s">
        <v>30</v>
      </c>
      <c r="K43" t="s">
        <v>191</v>
      </c>
      <c r="L43">
        <v>5</v>
      </c>
      <c r="M43">
        <v>3</v>
      </c>
      <c r="N43">
        <v>3101</v>
      </c>
      <c r="O43">
        <v>2021</v>
      </c>
      <c r="P43" t="s">
        <v>25</v>
      </c>
      <c r="Q43">
        <v>1018901630</v>
      </c>
      <c r="R43">
        <v>522621</v>
      </c>
    </row>
    <row r="44" spans="1:18" x14ac:dyDescent="0.2">
      <c r="A44" t="s">
        <v>192</v>
      </c>
      <c r="B44" t="str">
        <f>HYPERLINK("tel:3608211602", "3608211602")</f>
        <v>3608211602</v>
      </c>
      <c r="C44" t="s">
        <v>25</v>
      </c>
      <c r="D44" t="s">
        <v>193</v>
      </c>
      <c r="E44" t="s">
        <v>194</v>
      </c>
      <c r="F44" t="s">
        <v>22</v>
      </c>
      <c r="G44">
        <v>98368</v>
      </c>
      <c r="H44" s="1">
        <v>46059.143229166664</v>
      </c>
      <c r="I44" t="s">
        <v>29</v>
      </c>
      <c r="J44" t="s">
        <v>30</v>
      </c>
      <c r="K44" t="s">
        <v>195</v>
      </c>
      <c r="L44">
        <v>2</v>
      </c>
      <c r="M44">
        <v>1</v>
      </c>
      <c r="N44">
        <v>800</v>
      </c>
      <c r="O44" t="s">
        <v>25</v>
      </c>
      <c r="P44" t="s">
        <v>25</v>
      </c>
      <c r="Q44">
        <v>1018901634</v>
      </c>
      <c r="R44">
        <v>522619</v>
      </c>
    </row>
    <row r="45" spans="1:18" x14ac:dyDescent="0.2">
      <c r="A45" t="s">
        <v>196</v>
      </c>
      <c r="B45" t="str">
        <f>HYPERLINK("tel:2068980757", "2068980757")</f>
        <v>2068980757</v>
      </c>
      <c r="C45" t="s">
        <v>25</v>
      </c>
      <c r="D45" t="s">
        <v>197</v>
      </c>
      <c r="E45" t="s">
        <v>28</v>
      </c>
      <c r="F45" t="s">
        <v>22</v>
      </c>
      <c r="G45">
        <v>98122</v>
      </c>
      <c r="H45" s="1">
        <v>46059.143229166664</v>
      </c>
      <c r="I45" t="s">
        <v>29</v>
      </c>
      <c r="J45" t="s">
        <v>30</v>
      </c>
      <c r="K45" t="s">
        <v>198</v>
      </c>
      <c r="L45">
        <v>2</v>
      </c>
      <c r="M45">
        <v>1</v>
      </c>
      <c r="N45">
        <v>800</v>
      </c>
      <c r="O45">
        <v>1900</v>
      </c>
      <c r="P45" t="s">
        <v>25</v>
      </c>
      <c r="Q45">
        <v>1018901632</v>
      </c>
      <c r="R45">
        <v>522620</v>
      </c>
    </row>
    <row r="46" spans="1:18" x14ac:dyDescent="0.2">
      <c r="A46" t="s">
        <v>199</v>
      </c>
      <c r="B46" t="str">
        <f>HYPERLINK("tel:2162231478", "2162231478")</f>
        <v>2162231478</v>
      </c>
      <c r="C46" t="s">
        <v>200</v>
      </c>
      <c r="D46" t="s">
        <v>201</v>
      </c>
      <c r="E46" t="s">
        <v>113</v>
      </c>
      <c r="F46" t="s">
        <v>22</v>
      </c>
      <c r="G46">
        <v>98204</v>
      </c>
      <c r="H46" s="1">
        <v>46059.143229166664</v>
      </c>
      <c r="I46" t="s">
        <v>29</v>
      </c>
      <c r="J46" t="s">
        <v>30</v>
      </c>
      <c r="K46" t="s">
        <v>202</v>
      </c>
      <c r="L46">
        <v>3</v>
      </c>
      <c r="M46">
        <v>2</v>
      </c>
      <c r="N46">
        <v>2017</v>
      </c>
      <c r="O46">
        <v>2020</v>
      </c>
      <c r="P46" t="s">
        <v>25</v>
      </c>
      <c r="Q46">
        <v>1018901638</v>
      </c>
      <c r="R46">
        <v>522617</v>
      </c>
    </row>
    <row r="47" spans="1:18" x14ac:dyDescent="0.2">
      <c r="A47" t="s">
        <v>203</v>
      </c>
      <c r="B47" t="str">
        <f>HYPERLINK("tel:4252793687", "4252793687")</f>
        <v>4252793687</v>
      </c>
      <c r="C47" t="s">
        <v>204</v>
      </c>
      <c r="D47" t="s">
        <v>205</v>
      </c>
      <c r="E47" t="s">
        <v>106</v>
      </c>
      <c r="F47" t="s">
        <v>22</v>
      </c>
      <c r="G47">
        <v>98006</v>
      </c>
      <c r="H47" s="1">
        <v>46059.143229166664</v>
      </c>
      <c r="I47" t="s">
        <v>29</v>
      </c>
      <c r="J47" t="s">
        <v>30</v>
      </c>
      <c r="K47" t="s">
        <v>206</v>
      </c>
      <c r="L47">
        <v>2</v>
      </c>
      <c r="M47">
        <v>1</v>
      </c>
      <c r="N47">
        <v>880</v>
      </c>
      <c r="O47">
        <v>1973</v>
      </c>
      <c r="P47" t="s">
        <v>25</v>
      </c>
      <c r="Q47">
        <v>1018901636</v>
      </c>
      <c r="R47">
        <v>522618</v>
      </c>
    </row>
    <row r="48" spans="1:18" x14ac:dyDescent="0.2">
      <c r="A48" t="s">
        <v>207</v>
      </c>
      <c r="B48" t="str">
        <f>HYPERLINK("tel:2063094306", "2063094306")</f>
        <v>2063094306</v>
      </c>
      <c r="C48" t="s">
        <v>208</v>
      </c>
      <c r="D48" t="s">
        <v>209</v>
      </c>
      <c r="E48" t="s">
        <v>63</v>
      </c>
      <c r="F48" t="s">
        <v>22</v>
      </c>
      <c r="G48">
        <v>98023</v>
      </c>
      <c r="H48" s="1">
        <v>46059.143229166664</v>
      </c>
      <c r="I48" t="s">
        <v>29</v>
      </c>
      <c r="J48" t="s">
        <v>30</v>
      </c>
      <c r="K48" t="s">
        <v>210</v>
      </c>
      <c r="L48">
        <v>4</v>
      </c>
      <c r="M48">
        <v>2</v>
      </c>
      <c r="N48">
        <v>2880</v>
      </c>
      <c r="O48">
        <v>1987</v>
      </c>
      <c r="P48" t="s">
        <v>25</v>
      </c>
      <c r="Q48">
        <v>1018901639</v>
      </c>
      <c r="R48">
        <v>522616</v>
      </c>
    </row>
    <row r="49" spans="1:18" x14ac:dyDescent="0.2">
      <c r="A49" t="s">
        <v>82</v>
      </c>
      <c r="B49" t="s">
        <v>25</v>
      </c>
      <c r="C49" t="s">
        <v>25</v>
      </c>
      <c r="D49" t="s">
        <v>211</v>
      </c>
      <c r="E49" t="s">
        <v>212</v>
      </c>
      <c r="F49" t="s">
        <v>22</v>
      </c>
      <c r="G49">
        <v>98271</v>
      </c>
      <c r="H49" s="1">
        <v>46059.143229166664</v>
      </c>
      <c r="I49" t="s">
        <v>29</v>
      </c>
      <c r="J49" t="s">
        <v>30</v>
      </c>
      <c r="K49" t="s">
        <v>213</v>
      </c>
      <c r="L49">
        <v>3</v>
      </c>
      <c r="M49">
        <v>2</v>
      </c>
      <c r="N49">
        <v>2010</v>
      </c>
      <c r="O49" t="s">
        <v>25</v>
      </c>
      <c r="P49" t="s">
        <v>25</v>
      </c>
      <c r="Q49">
        <v>1018901641</v>
      </c>
      <c r="R49">
        <v>522614</v>
      </c>
    </row>
    <row r="50" spans="1:18" x14ac:dyDescent="0.2">
      <c r="A50" t="s">
        <v>214</v>
      </c>
      <c r="B50" t="str">
        <f>HYPERLINK("tel:2066047218", "2066047218")</f>
        <v>2066047218</v>
      </c>
      <c r="C50" t="s">
        <v>215</v>
      </c>
      <c r="D50" t="s">
        <v>216</v>
      </c>
      <c r="E50" t="s">
        <v>28</v>
      </c>
      <c r="F50" t="s">
        <v>22</v>
      </c>
      <c r="G50">
        <v>98119</v>
      </c>
      <c r="H50" s="1">
        <v>46059.143229166664</v>
      </c>
      <c r="I50" t="s">
        <v>29</v>
      </c>
      <c r="J50" t="s">
        <v>30</v>
      </c>
      <c r="K50" t="s">
        <v>217</v>
      </c>
      <c r="L50">
        <v>3</v>
      </c>
      <c r="M50">
        <v>3</v>
      </c>
      <c r="N50">
        <v>2570</v>
      </c>
      <c r="O50">
        <v>1990</v>
      </c>
      <c r="P50" t="s">
        <v>25</v>
      </c>
      <c r="Q50">
        <v>1018901640</v>
      </c>
      <c r="R50">
        <v>522615</v>
      </c>
    </row>
    <row r="51" spans="1:18" x14ac:dyDescent="0.2">
      <c r="A51" t="s">
        <v>218</v>
      </c>
      <c r="B51" t="str">
        <f>HYPERLINK("tel:2065934479", "2065934479")</f>
        <v>2065934479</v>
      </c>
      <c r="C51" t="s">
        <v>25</v>
      </c>
      <c r="D51" t="s">
        <v>219</v>
      </c>
      <c r="E51" t="s">
        <v>39</v>
      </c>
      <c r="F51" t="s">
        <v>22</v>
      </c>
      <c r="G51">
        <v>98405</v>
      </c>
      <c r="H51" s="1">
        <v>46059.143229166664</v>
      </c>
      <c r="I51" t="s">
        <v>29</v>
      </c>
      <c r="J51" t="s">
        <v>30</v>
      </c>
      <c r="K51" t="s">
        <v>220</v>
      </c>
      <c r="L51">
        <v>3</v>
      </c>
      <c r="M51">
        <v>2</v>
      </c>
      <c r="N51">
        <v>1418</v>
      </c>
      <c r="O51" t="s">
        <v>25</v>
      </c>
      <c r="P51" t="s">
        <v>25</v>
      </c>
      <c r="Q51">
        <v>1018901643</v>
      </c>
      <c r="R51">
        <v>522612</v>
      </c>
    </row>
    <row r="52" spans="1:18" x14ac:dyDescent="0.2">
      <c r="A52" t="s">
        <v>221</v>
      </c>
      <c r="B52" t="str">
        <f>HYPERLINK("tel:2068906056", "2068906056")</f>
        <v>2068906056</v>
      </c>
      <c r="C52" t="s">
        <v>222</v>
      </c>
      <c r="D52" t="s">
        <v>223</v>
      </c>
      <c r="E52" t="s">
        <v>28</v>
      </c>
      <c r="F52" t="s">
        <v>22</v>
      </c>
      <c r="G52">
        <v>98125</v>
      </c>
      <c r="H52" s="1">
        <v>46059.143229166664</v>
      </c>
      <c r="I52" t="s">
        <v>29</v>
      </c>
      <c r="J52" t="s">
        <v>30</v>
      </c>
      <c r="K52" t="s">
        <v>224</v>
      </c>
      <c r="L52">
        <v>3</v>
      </c>
      <c r="M52">
        <v>1</v>
      </c>
      <c r="N52">
        <v>1870</v>
      </c>
      <c r="O52">
        <v>1977</v>
      </c>
      <c r="P52" t="s">
        <v>25</v>
      </c>
      <c r="Q52">
        <v>1018901642</v>
      </c>
      <c r="R52">
        <v>522613</v>
      </c>
    </row>
    <row r="53" spans="1:18" x14ac:dyDescent="0.2">
      <c r="A53" t="s">
        <v>225</v>
      </c>
      <c r="B53" t="str">
        <f>HYPERLINK("tel:8132171827", "8132171827")</f>
        <v>8132171827</v>
      </c>
      <c r="C53" t="s">
        <v>226</v>
      </c>
      <c r="D53" t="s">
        <v>227</v>
      </c>
      <c r="E53" t="s">
        <v>228</v>
      </c>
      <c r="F53" t="s">
        <v>22</v>
      </c>
      <c r="G53">
        <v>98370</v>
      </c>
      <c r="H53" s="1">
        <v>46059.149606481478</v>
      </c>
      <c r="I53" t="s">
        <v>229</v>
      </c>
      <c r="J53" t="s">
        <v>230</v>
      </c>
      <c r="K53" t="s">
        <v>231</v>
      </c>
      <c r="L53">
        <v>1</v>
      </c>
      <c r="M53">
        <v>1</v>
      </c>
      <c r="N53">
        <v>823</v>
      </c>
      <c r="O53">
        <v>1984</v>
      </c>
      <c r="P53" t="s">
        <v>25</v>
      </c>
      <c r="Q53">
        <v>1018922735</v>
      </c>
      <c r="R53">
        <v>522611</v>
      </c>
    </row>
    <row r="54" spans="1:18" x14ac:dyDescent="0.2">
      <c r="A54" t="s">
        <v>232</v>
      </c>
      <c r="B54" t="str">
        <f>HYPERLINK("tel:3608214127", "3608214127")</f>
        <v>3608214127</v>
      </c>
      <c r="C54" t="s">
        <v>233</v>
      </c>
      <c r="D54" t="s">
        <v>234</v>
      </c>
      <c r="E54" t="s">
        <v>235</v>
      </c>
      <c r="F54" t="s">
        <v>22</v>
      </c>
      <c r="G54">
        <v>98584</v>
      </c>
      <c r="H54" s="1">
        <v>46059.149618055555</v>
      </c>
      <c r="I54" t="s">
        <v>229</v>
      </c>
      <c r="J54" t="s">
        <v>230</v>
      </c>
      <c r="K54" t="s">
        <v>236</v>
      </c>
      <c r="L54">
        <v>3</v>
      </c>
      <c r="M54">
        <v>2</v>
      </c>
      <c r="N54">
        <v>1188</v>
      </c>
      <c r="O54">
        <v>1993</v>
      </c>
      <c r="P54" t="s">
        <v>25</v>
      </c>
      <c r="Q54">
        <v>1018922774</v>
      </c>
      <c r="R54">
        <v>522610</v>
      </c>
    </row>
    <row r="55" spans="1:18" x14ac:dyDescent="0.2">
      <c r="A55" t="s">
        <v>237</v>
      </c>
      <c r="B55" t="str">
        <f>HYPERLINK("tel:3607087267", "3607087267")</f>
        <v>3607087267</v>
      </c>
      <c r="C55" t="s">
        <v>25</v>
      </c>
      <c r="D55" t="s">
        <v>238</v>
      </c>
      <c r="E55" t="s">
        <v>239</v>
      </c>
      <c r="F55" t="s">
        <v>22</v>
      </c>
      <c r="G55">
        <v>98221</v>
      </c>
      <c r="H55" s="1">
        <v>46059.149618055555</v>
      </c>
      <c r="I55" t="s">
        <v>229</v>
      </c>
      <c r="J55" t="s">
        <v>230</v>
      </c>
      <c r="K55" t="s">
        <v>240</v>
      </c>
      <c r="L55" t="s">
        <v>25</v>
      </c>
      <c r="M55" t="s">
        <v>25</v>
      </c>
      <c r="N55">
        <v>0</v>
      </c>
      <c r="O55" t="s">
        <v>25</v>
      </c>
      <c r="P55" t="s">
        <v>25</v>
      </c>
      <c r="Q55">
        <v>1018922810</v>
      </c>
      <c r="R55">
        <v>522609</v>
      </c>
    </row>
    <row r="56" spans="1:18" x14ac:dyDescent="0.2">
      <c r="A56" t="s">
        <v>241</v>
      </c>
      <c r="B56" t="str">
        <f>HYPERLINK("tel:4259419953", "4259419953")</f>
        <v>4259419953</v>
      </c>
      <c r="C56" t="s">
        <v>25</v>
      </c>
      <c r="D56" t="s">
        <v>242</v>
      </c>
      <c r="E56" t="s">
        <v>28</v>
      </c>
      <c r="F56" t="s">
        <v>22</v>
      </c>
      <c r="G56">
        <v>98144</v>
      </c>
      <c r="H56" s="1">
        <v>46059.149618055555</v>
      </c>
      <c r="I56" t="s">
        <v>229</v>
      </c>
      <c r="J56" t="s">
        <v>230</v>
      </c>
      <c r="K56" t="s">
        <v>243</v>
      </c>
      <c r="L56">
        <v>2</v>
      </c>
      <c r="M56">
        <v>1</v>
      </c>
      <c r="N56">
        <v>1114</v>
      </c>
      <c r="O56">
        <v>2025</v>
      </c>
      <c r="P56" t="s">
        <v>25</v>
      </c>
      <c r="Q56">
        <v>1018922835</v>
      </c>
      <c r="R56">
        <v>522608</v>
      </c>
    </row>
    <row r="57" spans="1:18" x14ac:dyDescent="0.2">
      <c r="A57" t="s">
        <v>244</v>
      </c>
      <c r="B57" t="str">
        <f>HYPERLINK("tel:3605806180", "3605806180")</f>
        <v>3605806180</v>
      </c>
      <c r="C57" t="s">
        <v>245</v>
      </c>
      <c r="D57" t="s">
        <v>246</v>
      </c>
      <c r="E57" t="s">
        <v>247</v>
      </c>
      <c r="F57" t="s">
        <v>22</v>
      </c>
      <c r="G57">
        <v>98569</v>
      </c>
      <c r="H57" s="1">
        <v>46059.149618055555</v>
      </c>
      <c r="I57" t="s">
        <v>229</v>
      </c>
      <c r="J57" t="s">
        <v>230</v>
      </c>
      <c r="K57" t="s">
        <v>248</v>
      </c>
      <c r="L57" t="s">
        <v>25</v>
      </c>
      <c r="M57" t="s">
        <v>25</v>
      </c>
      <c r="N57">
        <v>0</v>
      </c>
      <c r="O57" t="s">
        <v>25</v>
      </c>
      <c r="P57" t="s">
        <v>25</v>
      </c>
      <c r="Q57">
        <v>1018922854</v>
      </c>
      <c r="R57">
        <v>522606</v>
      </c>
    </row>
    <row r="58" spans="1:18" x14ac:dyDescent="0.2">
      <c r="A58" t="s">
        <v>249</v>
      </c>
      <c r="B58" t="str">
        <f>HYPERLINK("tel:2067196687", "2067196687")</f>
        <v>2067196687</v>
      </c>
      <c r="C58" t="s">
        <v>25</v>
      </c>
      <c r="D58" t="s">
        <v>250</v>
      </c>
      <c r="E58" t="s">
        <v>28</v>
      </c>
      <c r="F58" t="s">
        <v>22</v>
      </c>
      <c r="G58">
        <v>98122</v>
      </c>
      <c r="H58" s="1">
        <v>46059.149618055555</v>
      </c>
      <c r="I58" t="s">
        <v>229</v>
      </c>
      <c r="J58" t="s">
        <v>230</v>
      </c>
      <c r="K58" t="s">
        <v>251</v>
      </c>
      <c r="L58" t="s">
        <v>25</v>
      </c>
      <c r="M58" t="s">
        <v>25</v>
      </c>
      <c r="N58">
        <v>2900</v>
      </c>
      <c r="O58">
        <v>1905</v>
      </c>
      <c r="P58" t="s">
        <v>25</v>
      </c>
      <c r="Q58">
        <v>1018922845</v>
      </c>
      <c r="R58">
        <v>522607</v>
      </c>
    </row>
    <row r="59" spans="1:18" x14ac:dyDescent="0.2">
      <c r="A59" t="s">
        <v>252</v>
      </c>
      <c r="B59" t="str">
        <f>HYPERLINK("tel:3606213898", "3606213898")</f>
        <v>3606213898</v>
      </c>
      <c r="C59" t="s">
        <v>253</v>
      </c>
      <c r="D59" t="s">
        <v>254</v>
      </c>
      <c r="E59" t="s">
        <v>228</v>
      </c>
      <c r="F59" t="s">
        <v>22</v>
      </c>
      <c r="G59">
        <v>98370</v>
      </c>
      <c r="H59" s="1">
        <v>46059.149618055555</v>
      </c>
      <c r="I59" t="s">
        <v>229</v>
      </c>
      <c r="J59" t="s">
        <v>230</v>
      </c>
      <c r="K59" t="s">
        <v>255</v>
      </c>
      <c r="L59">
        <v>4</v>
      </c>
      <c r="M59">
        <v>2</v>
      </c>
      <c r="N59">
        <v>1399</v>
      </c>
      <c r="O59">
        <v>2016</v>
      </c>
      <c r="P59" t="s">
        <v>25</v>
      </c>
      <c r="Q59">
        <v>1018922873</v>
      </c>
      <c r="R59">
        <v>522605</v>
      </c>
    </row>
    <row r="60" spans="1:18" x14ac:dyDescent="0.2">
      <c r="A60" t="s">
        <v>256</v>
      </c>
      <c r="B60" t="str">
        <f>HYPERLINK("tel:4252809181", "4252809181")</f>
        <v>4252809181</v>
      </c>
      <c r="C60" t="s">
        <v>257</v>
      </c>
      <c r="D60" t="s">
        <v>258</v>
      </c>
      <c r="E60" t="s">
        <v>259</v>
      </c>
      <c r="F60" t="s">
        <v>22</v>
      </c>
      <c r="G60">
        <v>98258</v>
      </c>
      <c r="H60" s="1">
        <v>46059.149618055555</v>
      </c>
      <c r="I60" t="s">
        <v>229</v>
      </c>
      <c r="J60" t="s">
        <v>230</v>
      </c>
      <c r="K60" t="s">
        <v>260</v>
      </c>
      <c r="L60">
        <v>5</v>
      </c>
      <c r="M60">
        <v>2</v>
      </c>
      <c r="N60">
        <v>3087</v>
      </c>
      <c r="O60">
        <v>2020</v>
      </c>
      <c r="P60" t="s">
        <v>25</v>
      </c>
      <c r="Q60">
        <v>1018922888</v>
      </c>
      <c r="R60">
        <v>522604</v>
      </c>
    </row>
    <row r="61" spans="1:18" x14ac:dyDescent="0.2">
      <c r="A61" t="s">
        <v>261</v>
      </c>
      <c r="B61" t="str">
        <f>HYPERLINK("tel:8328780302", "8328780302")</f>
        <v>8328780302</v>
      </c>
      <c r="C61" t="s">
        <v>262</v>
      </c>
      <c r="D61" t="s">
        <v>263</v>
      </c>
      <c r="E61" t="s">
        <v>149</v>
      </c>
      <c r="F61" t="s">
        <v>22</v>
      </c>
      <c r="G61">
        <v>98029</v>
      </c>
      <c r="H61" s="1">
        <v>46059.149629629632</v>
      </c>
      <c r="I61" t="s">
        <v>229</v>
      </c>
      <c r="J61" t="s">
        <v>230</v>
      </c>
      <c r="K61" t="s">
        <v>264</v>
      </c>
      <c r="L61">
        <v>5</v>
      </c>
      <c r="M61">
        <v>2</v>
      </c>
      <c r="N61">
        <v>4346</v>
      </c>
      <c r="O61">
        <v>2021</v>
      </c>
      <c r="P61" t="s">
        <v>25</v>
      </c>
      <c r="Q61">
        <v>1018922930</v>
      </c>
      <c r="R61">
        <v>522602</v>
      </c>
    </row>
    <row r="62" spans="1:18" x14ac:dyDescent="0.2">
      <c r="A62" t="s">
        <v>265</v>
      </c>
      <c r="B62" t="str">
        <f>HYPERLINK("tel:2533474680", "2533474680")</f>
        <v>2533474680</v>
      </c>
      <c r="C62" t="s">
        <v>25</v>
      </c>
      <c r="D62" t="s">
        <v>266</v>
      </c>
      <c r="E62" t="s">
        <v>235</v>
      </c>
      <c r="F62" t="s">
        <v>22</v>
      </c>
      <c r="G62">
        <v>98584</v>
      </c>
      <c r="H62" s="1">
        <v>46059.149618055555</v>
      </c>
      <c r="I62" t="s">
        <v>229</v>
      </c>
      <c r="J62" t="s">
        <v>230</v>
      </c>
      <c r="K62" t="s">
        <v>267</v>
      </c>
      <c r="L62">
        <v>2</v>
      </c>
      <c r="M62">
        <v>2</v>
      </c>
      <c r="N62">
        <v>1344</v>
      </c>
      <c r="O62">
        <v>1974</v>
      </c>
      <c r="P62" t="s">
        <v>25</v>
      </c>
      <c r="Q62">
        <v>1018922916</v>
      </c>
      <c r="R62">
        <v>522603</v>
      </c>
    </row>
    <row r="63" spans="1:18" x14ac:dyDescent="0.2">
      <c r="A63" t="s">
        <v>268</v>
      </c>
      <c r="B63" t="str">
        <f>HYPERLINK("tel:2534390687", "2534390687")</f>
        <v>2534390687</v>
      </c>
      <c r="C63" t="s">
        <v>269</v>
      </c>
      <c r="D63" t="s">
        <v>270</v>
      </c>
      <c r="E63" t="s">
        <v>271</v>
      </c>
      <c r="F63" t="s">
        <v>22</v>
      </c>
      <c r="G63">
        <v>98391</v>
      </c>
      <c r="H63" s="1">
        <v>46059.149629629632</v>
      </c>
      <c r="I63" t="s">
        <v>229</v>
      </c>
      <c r="J63" t="s">
        <v>230</v>
      </c>
      <c r="K63" t="s">
        <v>272</v>
      </c>
      <c r="L63">
        <v>2</v>
      </c>
      <c r="M63">
        <v>1</v>
      </c>
      <c r="N63">
        <v>1310</v>
      </c>
      <c r="O63">
        <v>2022</v>
      </c>
      <c r="P63" t="s">
        <v>25</v>
      </c>
      <c r="Q63">
        <v>1018922950</v>
      </c>
      <c r="R63">
        <v>522601</v>
      </c>
    </row>
    <row r="64" spans="1:18" x14ac:dyDescent="0.2">
      <c r="A64" t="s">
        <v>273</v>
      </c>
      <c r="B64" t="str">
        <f>HYPERLINK("tel:6263298678", "6263298678")</f>
        <v>6263298678</v>
      </c>
      <c r="C64" t="s">
        <v>25</v>
      </c>
      <c r="D64" t="s">
        <v>274</v>
      </c>
      <c r="E64" t="s">
        <v>275</v>
      </c>
      <c r="F64" t="s">
        <v>22</v>
      </c>
      <c r="G64">
        <v>98597</v>
      </c>
      <c r="H64" s="1">
        <v>46059.149629629632</v>
      </c>
      <c r="I64" t="s">
        <v>229</v>
      </c>
      <c r="J64" t="s">
        <v>230</v>
      </c>
      <c r="K64" t="s">
        <v>276</v>
      </c>
      <c r="L64">
        <v>3</v>
      </c>
      <c r="M64">
        <v>1</v>
      </c>
      <c r="N64">
        <v>1536</v>
      </c>
      <c r="O64">
        <v>1991</v>
      </c>
      <c r="P64" t="s">
        <v>25</v>
      </c>
      <c r="Q64">
        <v>1018922968</v>
      </c>
      <c r="R64">
        <v>522599</v>
      </c>
    </row>
    <row r="65" spans="1:18" x14ac:dyDescent="0.2">
      <c r="A65" t="s">
        <v>277</v>
      </c>
      <c r="B65" t="str">
        <f>HYPERLINK("tel:2067244346", "2067244346")</f>
        <v>2067244346</v>
      </c>
      <c r="C65" t="s">
        <v>278</v>
      </c>
      <c r="D65" t="s">
        <v>279</v>
      </c>
      <c r="E65" t="s">
        <v>39</v>
      </c>
      <c r="F65" t="s">
        <v>22</v>
      </c>
      <c r="G65">
        <v>98404</v>
      </c>
      <c r="H65" s="1">
        <v>46059.149629629632</v>
      </c>
      <c r="I65" t="s">
        <v>229</v>
      </c>
      <c r="J65" t="s">
        <v>230</v>
      </c>
      <c r="K65" t="s">
        <v>280</v>
      </c>
      <c r="L65">
        <v>4</v>
      </c>
      <c r="M65">
        <v>2</v>
      </c>
      <c r="N65">
        <v>1867</v>
      </c>
      <c r="O65">
        <v>2014</v>
      </c>
      <c r="P65" t="s">
        <v>25</v>
      </c>
      <c r="Q65">
        <v>1018922958</v>
      </c>
      <c r="R65">
        <v>522600</v>
      </c>
    </row>
    <row r="66" spans="1:18" x14ac:dyDescent="0.2">
      <c r="A66" t="s">
        <v>281</v>
      </c>
      <c r="B66" t="str">
        <f>HYPERLINK("tel:3606314871", "3606314871")</f>
        <v>3606314871</v>
      </c>
      <c r="C66" t="s">
        <v>282</v>
      </c>
      <c r="D66" t="s">
        <v>283</v>
      </c>
      <c r="E66" t="s">
        <v>113</v>
      </c>
      <c r="F66" t="s">
        <v>22</v>
      </c>
      <c r="G66">
        <v>98201</v>
      </c>
      <c r="H66" s="1">
        <v>46059.149629629632</v>
      </c>
      <c r="I66" t="s">
        <v>229</v>
      </c>
      <c r="J66" t="s">
        <v>230</v>
      </c>
      <c r="K66" t="s">
        <v>284</v>
      </c>
      <c r="L66">
        <v>4</v>
      </c>
      <c r="M66">
        <v>1</v>
      </c>
      <c r="N66">
        <v>1473</v>
      </c>
      <c r="O66">
        <v>1901</v>
      </c>
      <c r="P66" t="s">
        <v>25</v>
      </c>
      <c r="Q66">
        <v>1018922976</v>
      </c>
      <c r="R66">
        <v>522598</v>
      </c>
    </row>
    <row r="67" spans="1:18" x14ac:dyDescent="0.2">
      <c r="A67" t="s">
        <v>285</v>
      </c>
      <c r="B67" t="s">
        <v>25</v>
      </c>
      <c r="C67" t="s">
        <v>25</v>
      </c>
      <c r="D67" t="s">
        <v>286</v>
      </c>
      <c r="E67" t="s">
        <v>39</v>
      </c>
      <c r="F67" t="s">
        <v>22</v>
      </c>
      <c r="G67">
        <v>98409</v>
      </c>
      <c r="H67" s="1">
        <v>46059.149629629632</v>
      </c>
      <c r="I67" t="s">
        <v>287</v>
      </c>
      <c r="J67" t="s">
        <v>288</v>
      </c>
      <c r="K67" t="s">
        <v>289</v>
      </c>
      <c r="L67">
        <v>2</v>
      </c>
      <c r="M67">
        <v>2</v>
      </c>
      <c r="N67">
        <v>748</v>
      </c>
      <c r="O67">
        <v>1924</v>
      </c>
      <c r="P67" t="s">
        <v>25</v>
      </c>
      <c r="Q67">
        <v>1018923004</v>
      </c>
      <c r="R67">
        <v>522596</v>
      </c>
    </row>
    <row r="68" spans="1:18" x14ac:dyDescent="0.2">
      <c r="A68" t="s">
        <v>241</v>
      </c>
      <c r="B68" t="str">
        <f>HYPERLINK("tel:4252103835", "4252103835")</f>
        <v>4252103835</v>
      </c>
      <c r="C68" t="s">
        <v>25</v>
      </c>
      <c r="D68" t="s">
        <v>290</v>
      </c>
      <c r="E68" t="s">
        <v>39</v>
      </c>
      <c r="F68" t="s">
        <v>22</v>
      </c>
      <c r="G68">
        <v>98402</v>
      </c>
      <c r="H68" s="1">
        <v>46059.149629629632</v>
      </c>
      <c r="I68" t="s">
        <v>287</v>
      </c>
      <c r="J68" t="s">
        <v>230</v>
      </c>
      <c r="K68" t="s">
        <v>291</v>
      </c>
      <c r="L68" t="s">
        <v>25</v>
      </c>
      <c r="M68" t="s">
        <v>25</v>
      </c>
      <c r="N68">
        <v>0</v>
      </c>
      <c r="O68" t="s">
        <v>25</v>
      </c>
      <c r="P68" t="s">
        <v>25</v>
      </c>
      <c r="Q68">
        <v>1018922993</v>
      </c>
      <c r="R68">
        <v>522597</v>
      </c>
    </row>
    <row r="69" spans="1:18" x14ac:dyDescent="0.2">
      <c r="A69" t="s">
        <v>292</v>
      </c>
      <c r="B69" t="str">
        <f>HYPERLINK("tel:5095310734", "5095310734")</f>
        <v>5095310734</v>
      </c>
      <c r="C69" t="s">
        <v>25</v>
      </c>
      <c r="D69" t="s">
        <v>293</v>
      </c>
      <c r="E69" t="s">
        <v>247</v>
      </c>
      <c r="F69" t="s">
        <v>22</v>
      </c>
      <c r="G69">
        <v>98569</v>
      </c>
      <c r="H69" s="1">
        <v>46059.149629629632</v>
      </c>
      <c r="I69" t="s">
        <v>287</v>
      </c>
      <c r="J69" t="s">
        <v>230</v>
      </c>
      <c r="K69" t="s">
        <v>294</v>
      </c>
      <c r="L69">
        <v>2</v>
      </c>
      <c r="M69">
        <v>1</v>
      </c>
      <c r="N69">
        <v>1224</v>
      </c>
      <c r="O69">
        <v>2023</v>
      </c>
      <c r="P69" t="s">
        <v>25</v>
      </c>
      <c r="Q69">
        <v>1018923022</v>
      </c>
      <c r="R69">
        <v>522594</v>
      </c>
    </row>
    <row r="70" spans="1:18" x14ac:dyDescent="0.2">
      <c r="A70" t="s">
        <v>295</v>
      </c>
      <c r="B70" t="str">
        <f>HYPERLINK("tel:7816622618", "7816622618")</f>
        <v>7816622618</v>
      </c>
      <c r="C70" t="s">
        <v>25</v>
      </c>
      <c r="D70" t="s">
        <v>296</v>
      </c>
      <c r="E70" t="s">
        <v>126</v>
      </c>
      <c r="F70" t="s">
        <v>22</v>
      </c>
      <c r="G70">
        <v>98310</v>
      </c>
      <c r="H70" s="1">
        <v>46059.149629629632</v>
      </c>
      <c r="I70" t="s">
        <v>287</v>
      </c>
      <c r="J70" t="s">
        <v>230</v>
      </c>
      <c r="K70" t="s">
        <v>297</v>
      </c>
      <c r="L70" t="s">
        <v>25</v>
      </c>
      <c r="M70" t="s">
        <v>25</v>
      </c>
      <c r="N70">
        <v>0</v>
      </c>
      <c r="O70">
        <v>1972</v>
      </c>
      <c r="P70" t="s">
        <v>25</v>
      </c>
      <c r="Q70">
        <v>1018923011</v>
      </c>
      <c r="R70">
        <v>522595</v>
      </c>
    </row>
    <row r="71" spans="1:18" x14ac:dyDescent="0.2">
      <c r="A71" t="s">
        <v>298</v>
      </c>
      <c r="B71" t="str">
        <f>HYPERLINK("tel:4153028450", "4153028450")</f>
        <v>4153028450</v>
      </c>
      <c r="C71" t="s">
        <v>25</v>
      </c>
      <c r="D71" t="s">
        <v>299</v>
      </c>
      <c r="E71" t="s">
        <v>300</v>
      </c>
      <c r="F71" t="s">
        <v>22</v>
      </c>
      <c r="G71">
        <v>98368</v>
      </c>
      <c r="H71" s="1">
        <v>46059.149629629632</v>
      </c>
      <c r="I71" t="s">
        <v>287</v>
      </c>
      <c r="J71" t="s">
        <v>230</v>
      </c>
      <c r="K71" t="s">
        <v>301</v>
      </c>
      <c r="L71" t="s">
        <v>25</v>
      </c>
      <c r="M71" t="s">
        <v>25</v>
      </c>
      <c r="N71">
        <v>0</v>
      </c>
      <c r="O71" t="s">
        <v>25</v>
      </c>
      <c r="P71" t="s">
        <v>25</v>
      </c>
      <c r="Q71">
        <v>1018923052</v>
      </c>
      <c r="R71">
        <v>522592</v>
      </c>
    </row>
    <row r="72" spans="1:18" x14ac:dyDescent="0.2">
      <c r="A72" t="s">
        <v>302</v>
      </c>
      <c r="B72" t="str">
        <f>HYPERLINK("tel:2533741907", "2533741907")</f>
        <v>2533741907</v>
      </c>
      <c r="C72" t="s">
        <v>25</v>
      </c>
      <c r="D72" t="s">
        <v>303</v>
      </c>
      <c r="E72" t="s">
        <v>304</v>
      </c>
      <c r="F72" t="s">
        <v>22</v>
      </c>
      <c r="G72">
        <v>98002</v>
      </c>
      <c r="H72" s="1">
        <v>46059.149629629632</v>
      </c>
      <c r="I72" t="s">
        <v>287</v>
      </c>
      <c r="J72" t="s">
        <v>230</v>
      </c>
      <c r="K72" t="s">
        <v>305</v>
      </c>
      <c r="L72">
        <v>2</v>
      </c>
      <c r="M72">
        <v>2</v>
      </c>
      <c r="N72">
        <v>1251</v>
      </c>
      <c r="O72">
        <v>2008</v>
      </c>
      <c r="P72" t="s">
        <v>25</v>
      </c>
      <c r="Q72">
        <v>1018923043</v>
      </c>
      <c r="R72">
        <v>522593</v>
      </c>
    </row>
    <row r="73" spans="1:18" x14ac:dyDescent="0.2">
      <c r="A73" t="s">
        <v>306</v>
      </c>
      <c r="B73" t="str">
        <f>HYPERLINK("tel:2063937777", "2063937777")</f>
        <v>2063937777</v>
      </c>
      <c r="C73" t="s">
        <v>25</v>
      </c>
      <c r="D73" t="s">
        <v>307</v>
      </c>
      <c r="E73" t="s">
        <v>118</v>
      </c>
      <c r="F73" t="s">
        <v>22</v>
      </c>
      <c r="G73">
        <v>98027</v>
      </c>
      <c r="H73" s="1">
        <v>46059.149629629632</v>
      </c>
      <c r="I73" t="s">
        <v>287</v>
      </c>
      <c r="J73" t="s">
        <v>230</v>
      </c>
      <c r="K73" t="s">
        <v>308</v>
      </c>
      <c r="L73">
        <v>3</v>
      </c>
      <c r="M73">
        <v>1</v>
      </c>
      <c r="N73">
        <v>3120</v>
      </c>
      <c r="O73">
        <v>1980</v>
      </c>
      <c r="P73" t="s">
        <v>25</v>
      </c>
      <c r="Q73">
        <v>1018923065</v>
      </c>
      <c r="R73">
        <v>522591</v>
      </c>
    </row>
    <row r="74" spans="1:18" x14ac:dyDescent="0.2">
      <c r="A74" t="s">
        <v>309</v>
      </c>
      <c r="B74" t="str">
        <f>HYPERLINK("tel:2067820384", "2067820384")</f>
        <v>2067820384</v>
      </c>
      <c r="C74" t="s">
        <v>310</v>
      </c>
      <c r="D74" t="s">
        <v>311</v>
      </c>
      <c r="E74" t="s">
        <v>28</v>
      </c>
      <c r="F74" t="s">
        <v>22</v>
      </c>
      <c r="G74">
        <v>98133</v>
      </c>
      <c r="H74" s="1">
        <v>46059.149641203701</v>
      </c>
      <c r="I74" t="s">
        <v>287</v>
      </c>
      <c r="J74" t="s">
        <v>230</v>
      </c>
      <c r="K74" t="s">
        <v>312</v>
      </c>
      <c r="L74">
        <v>3</v>
      </c>
      <c r="M74">
        <v>1</v>
      </c>
      <c r="N74">
        <v>1324</v>
      </c>
      <c r="O74">
        <v>1911</v>
      </c>
      <c r="P74" t="s">
        <v>25</v>
      </c>
      <c r="Q74">
        <v>1018923091</v>
      </c>
      <c r="R74">
        <v>522590</v>
      </c>
    </row>
    <row r="75" spans="1:18" x14ac:dyDescent="0.2">
      <c r="A75" t="s">
        <v>313</v>
      </c>
      <c r="B75" t="str">
        <f>HYPERLINK("tel:3603175186", "3603175186")</f>
        <v>3603175186</v>
      </c>
      <c r="C75" t="s">
        <v>314</v>
      </c>
      <c r="D75" t="s">
        <v>315</v>
      </c>
      <c r="E75" t="s">
        <v>239</v>
      </c>
      <c r="F75" t="s">
        <v>22</v>
      </c>
      <c r="G75">
        <v>98221</v>
      </c>
      <c r="H75" s="1">
        <v>46059.149641203701</v>
      </c>
      <c r="I75" t="s">
        <v>287</v>
      </c>
      <c r="J75" t="s">
        <v>230</v>
      </c>
      <c r="K75" t="s">
        <v>316</v>
      </c>
      <c r="L75" t="s">
        <v>25</v>
      </c>
      <c r="M75" t="s">
        <v>25</v>
      </c>
      <c r="N75">
        <v>0</v>
      </c>
      <c r="O75" t="s">
        <v>25</v>
      </c>
      <c r="P75" t="s">
        <v>25</v>
      </c>
      <c r="Q75">
        <v>1018923099</v>
      </c>
      <c r="R75">
        <v>522589</v>
      </c>
    </row>
    <row r="76" spans="1:18" x14ac:dyDescent="0.2">
      <c r="A76" t="s">
        <v>298</v>
      </c>
      <c r="B76" t="s">
        <v>25</v>
      </c>
      <c r="C76" t="s">
        <v>25</v>
      </c>
      <c r="D76" t="s">
        <v>317</v>
      </c>
      <c r="E76" t="s">
        <v>318</v>
      </c>
      <c r="F76" t="s">
        <v>22</v>
      </c>
      <c r="G76">
        <v>98072</v>
      </c>
      <c r="H76" s="1">
        <v>46058.142430555556</v>
      </c>
      <c r="I76" t="s">
        <v>229</v>
      </c>
      <c r="J76" t="s">
        <v>288</v>
      </c>
      <c r="K76" t="s">
        <v>319</v>
      </c>
      <c r="L76">
        <v>3</v>
      </c>
      <c r="M76">
        <v>2</v>
      </c>
      <c r="N76">
        <v>2000</v>
      </c>
      <c r="O76">
        <v>2025</v>
      </c>
      <c r="P76" t="s">
        <v>25</v>
      </c>
      <c r="Q76">
        <v>1018706364</v>
      </c>
      <c r="R76">
        <v>522363</v>
      </c>
    </row>
    <row r="77" spans="1:18" x14ac:dyDescent="0.2">
      <c r="A77" t="s">
        <v>298</v>
      </c>
      <c r="B77" t="s">
        <v>25</v>
      </c>
      <c r="C77" t="s">
        <v>25</v>
      </c>
      <c r="D77" t="s">
        <v>320</v>
      </c>
      <c r="E77" t="s">
        <v>318</v>
      </c>
      <c r="F77" t="s">
        <v>22</v>
      </c>
      <c r="G77">
        <v>98072</v>
      </c>
      <c r="H77" s="1">
        <v>46058.142430555556</v>
      </c>
      <c r="I77" t="s">
        <v>229</v>
      </c>
      <c r="J77" t="s">
        <v>288</v>
      </c>
      <c r="K77" t="s">
        <v>321</v>
      </c>
      <c r="L77">
        <v>4</v>
      </c>
      <c r="M77">
        <v>2</v>
      </c>
      <c r="N77">
        <v>2361</v>
      </c>
      <c r="O77">
        <v>2025</v>
      </c>
      <c r="P77" t="s">
        <v>25</v>
      </c>
      <c r="Q77">
        <v>1018706377</v>
      </c>
      <c r="R77">
        <v>522362</v>
      </c>
    </row>
    <row r="78" spans="1:18" x14ac:dyDescent="0.2">
      <c r="A78" t="s">
        <v>322</v>
      </c>
      <c r="B78" t="str">
        <f>HYPERLINK("tel:2536175120", "2536175120")</f>
        <v>2536175120</v>
      </c>
      <c r="C78" t="s">
        <v>25</v>
      </c>
      <c r="D78" t="s">
        <v>323</v>
      </c>
      <c r="E78" t="s">
        <v>39</v>
      </c>
      <c r="F78" t="s">
        <v>22</v>
      </c>
      <c r="G78">
        <v>98443</v>
      </c>
      <c r="H78" s="1">
        <v>46058.142442129632</v>
      </c>
      <c r="I78" t="s">
        <v>229</v>
      </c>
      <c r="J78" t="s">
        <v>230</v>
      </c>
      <c r="K78" t="s">
        <v>324</v>
      </c>
      <c r="L78">
        <v>3</v>
      </c>
      <c r="M78">
        <v>1</v>
      </c>
      <c r="N78">
        <v>2112</v>
      </c>
      <c r="O78">
        <v>1920</v>
      </c>
      <c r="P78" t="s">
        <v>25</v>
      </c>
      <c r="Q78">
        <v>1018706427</v>
      </c>
      <c r="R78">
        <v>522360</v>
      </c>
    </row>
    <row r="79" spans="1:18" x14ac:dyDescent="0.2">
      <c r="A79" t="s">
        <v>325</v>
      </c>
      <c r="B79" t="str">
        <f>HYPERLINK("tel:4257856610", "4257856610")</f>
        <v>4257856610</v>
      </c>
      <c r="C79" t="s">
        <v>326</v>
      </c>
      <c r="D79" t="s">
        <v>327</v>
      </c>
      <c r="E79" t="s">
        <v>106</v>
      </c>
      <c r="F79" t="s">
        <v>22</v>
      </c>
      <c r="G79">
        <v>98006</v>
      </c>
      <c r="H79" s="1">
        <v>46058.142442129632</v>
      </c>
      <c r="I79" t="s">
        <v>229</v>
      </c>
      <c r="J79" t="s">
        <v>230</v>
      </c>
      <c r="K79" t="s">
        <v>328</v>
      </c>
      <c r="L79">
        <v>4</v>
      </c>
      <c r="M79">
        <v>3</v>
      </c>
      <c r="N79">
        <v>3600</v>
      </c>
      <c r="O79">
        <v>2008</v>
      </c>
      <c r="P79" t="s">
        <v>25</v>
      </c>
      <c r="Q79">
        <v>1018706408</v>
      </c>
      <c r="R79">
        <v>522361</v>
      </c>
    </row>
    <row r="80" spans="1:18" x14ac:dyDescent="0.2">
      <c r="A80" t="s">
        <v>329</v>
      </c>
      <c r="B80" t="str">
        <f>HYPERLINK("tel:2068563563", "2068563563")</f>
        <v>2068563563</v>
      </c>
      <c r="C80" t="s">
        <v>330</v>
      </c>
      <c r="D80" t="s">
        <v>331</v>
      </c>
      <c r="E80" t="s">
        <v>332</v>
      </c>
      <c r="F80" t="s">
        <v>22</v>
      </c>
      <c r="G80">
        <v>98056</v>
      </c>
      <c r="H80" s="1">
        <v>46058.142442129632</v>
      </c>
      <c r="I80" t="s">
        <v>229</v>
      </c>
      <c r="J80" t="s">
        <v>230</v>
      </c>
      <c r="K80" t="s">
        <v>333</v>
      </c>
      <c r="L80">
        <v>4</v>
      </c>
      <c r="M80">
        <v>2</v>
      </c>
      <c r="N80">
        <v>2800</v>
      </c>
      <c r="O80">
        <v>1989</v>
      </c>
      <c r="P80" t="s">
        <v>25</v>
      </c>
      <c r="Q80">
        <v>1018706447</v>
      </c>
      <c r="R80">
        <v>522359</v>
      </c>
    </row>
    <row r="81" spans="1:18" x14ac:dyDescent="0.2">
      <c r="A81" t="s">
        <v>334</v>
      </c>
      <c r="B81" t="str">
        <f>HYPERLINK("tel:9712412015", "9712412015")</f>
        <v>9712412015</v>
      </c>
      <c r="C81" t="s">
        <v>25</v>
      </c>
      <c r="D81" t="s">
        <v>335</v>
      </c>
      <c r="E81" t="s">
        <v>235</v>
      </c>
      <c r="F81" t="s">
        <v>22</v>
      </c>
      <c r="G81">
        <v>98584</v>
      </c>
      <c r="H81" s="1">
        <v>46058.142442129632</v>
      </c>
      <c r="I81" t="s">
        <v>229</v>
      </c>
      <c r="J81" t="s">
        <v>230</v>
      </c>
      <c r="K81" t="s">
        <v>336</v>
      </c>
      <c r="L81" t="s">
        <v>25</v>
      </c>
      <c r="M81" t="s">
        <v>25</v>
      </c>
      <c r="N81">
        <v>0</v>
      </c>
      <c r="O81" t="s">
        <v>25</v>
      </c>
      <c r="P81" t="s">
        <v>25</v>
      </c>
      <c r="Q81">
        <v>1018706477</v>
      </c>
      <c r="R81">
        <v>522358</v>
      </c>
    </row>
    <row r="82" spans="1:18" x14ac:dyDescent="0.2">
      <c r="A82" t="s">
        <v>337</v>
      </c>
      <c r="B82" t="str">
        <f>HYPERLINK("tel:2068510346", "2068510346")</f>
        <v>2068510346</v>
      </c>
      <c r="C82" t="s">
        <v>25</v>
      </c>
      <c r="D82" t="s">
        <v>338</v>
      </c>
      <c r="E82" t="s">
        <v>28</v>
      </c>
      <c r="F82" t="s">
        <v>22</v>
      </c>
      <c r="G82">
        <v>98112</v>
      </c>
      <c r="H82" s="1">
        <v>46058.142442129632</v>
      </c>
      <c r="I82" t="s">
        <v>229</v>
      </c>
      <c r="J82" t="s">
        <v>230</v>
      </c>
      <c r="K82" t="s">
        <v>339</v>
      </c>
      <c r="L82" t="s">
        <v>25</v>
      </c>
      <c r="M82" t="s">
        <v>25</v>
      </c>
      <c r="N82">
        <v>4680</v>
      </c>
      <c r="O82">
        <v>1910</v>
      </c>
      <c r="P82" t="s">
        <v>25</v>
      </c>
      <c r="Q82">
        <v>1018706547</v>
      </c>
      <c r="R82">
        <v>522356</v>
      </c>
    </row>
    <row r="83" spans="1:18" x14ac:dyDescent="0.2">
      <c r="A83" t="s">
        <v>340</v>
      </c>
      <c r="B83" t="str">
        <f>HYPERLINK("tel:2535834771", "2535834771")</f>
        <v>2535834771</v>
      </c>
      <c r="C83" t="s">
        <v>25</v>
      </c>
      <c r="D83" t="s">
        <v>341</v>
      </c>
      <c r="E83" t="s">
        <v>143</v>
      </c>
      <c r="F83" t="s">
        <v>22</v>
      </c>
      <c r="G83">
        <v>98374</v>
      </c>
      <c r="H83" s="1">
        <v>46058.142442129632</v>
      </c>
      <c r="I83" t="s">
        <v>229</v>
      </c>
      <c r="J83" t="s">
        <v>230</v>
      </c>
      <c r="K83" t="s">
        <v>342</v>
      </c>
      <c r="L83">
        <v>4</v>
      </c>
      <c r="M83">
        <v>2</v>
      </c>
      <c r="N83">
        <v>2016</v>
      </c>
      <c r="O83">
        <v>2004</v>
      </c>
      <c r="P83" t="s">
        <v>25</v>
      </c>
      <c r="Q83">
        <v>1018706533</v>
      </c>
      <c r="R83">
        <v>522357</v>
      </c>
    </row>
    <row r="84" spans="1:18" x14ac:dyDescent="0.2">
      <c r="A84" t="s">
        <v>343</v>
      </c>
      <c r="B84" t="str">
        <f>HYPERLINK("tel:3607905057", "3607905057")</f>
        <v>3607905057</v>
      </c>
      <c r="C84" t="s">
        <v>344</v>
      </c>
      <c r="D84" t="s">
        <v>345</v>
      </c>
      <c r="E84" t="s">
        <v>346</v>
      </c>
      <c r="F84" t="s">
        <v>22</v>
      </c>
      <c r="G84">
        <v>98502</v>
      </c>
      <c r="H84" s="1">
        <v>46058.142442129632</v>
      </c>
      <c r="I84" t="s">
        <v>229</v>
      </c>
      <c r="J84" t="s">
        <v>230</v>
      </c>
      <c r="K84" t="s">
        <v>347</v>
      </c>
      <c r="L84">
        <v>3</v>
      </c>
      <c r="M84">
        <v>1</v>
      </c>
      <c r="N84">
        <v>1949</v>
      </c>
      <c r="O84">
        <v>1959</v>
      </c>
      <c r="P84" t="s">
        <v>25</v>
      </c>
      <c r="Q84">
        <v>1018706568</v>
      </c>
      <c r="R84">
        <v>522355</v>
      </c>
    </row>
    <row r="85" spans="1:18" x14ac:dyDescent="0.2">
      <c r="A85" t="s">
        <v>348</v>
      </c>
      <c r="B85" t="str">
        <f>HYPERLINK("tel:3034895048", "3034895048")</f>
        <v>3034895048</v>
      </c>
      <c r="C85" t="s">
        <v>25</v>
      </c>
      <c r="D85" t="s">
        <v>349</v>
      </c>
      <c r="E85" t="s">
        <v>28</v>
      </c>
      <c r="F85" t="s">
        <v>22</v>
      </c>
      <c r="G85">
        <v>98133</v>
      </c>
      <c r="H85" s="1">
        <v>46058.142453703702</v>
      </c>
      <c r="I85" t="s">
        <v>229</v>
      </c>
      <c r="J85" t="s">
        <v>230</v>
      </c>
      <c r="K85" t="s">
        <v>350</v>
      </c>
      <c r="L85" t="s">
        <v>25</v>
      </c>
      <c r="M85" t="s">
        <v>25</v>
      </c>
      <c r="N85">
        <v>0</v>
      </c>
      <c r="O85">
        <v>1928</v>
      </c>
      <c r="P85" t="s">
        <v>25</v>
      </c>
      <c r="Q85">
        <v>1018706627</v>
      </c>
      <c r="R85">
        <v>522353</v>
      </c>
    </row>
    <row r="86" spans="1:18" x14ac:dyDescent="0.2">
      <c r="A86" t="s">
        <v>351</v>
      </c>
      <c r="B86" t="str">
        <f>HYPERLINK("tel:7165872220", "7165872220")</f>
        <v>7165872220</v>
      </c>
      <c r="C86" t="s">
        <v>25</v>
      </c>
      <c r="D86" t="s">
        <v>352</v>
      </c>
      <c r="E86" t="s">
        <v>134</v>
      </c>
      <c r="F86" t="s">
        <v>22</v>
      </c>
      <c r="G86">
        <v>98012</v>
      </c>
      <c r="H86" s="1">
        <v>46058.142453703702</v>
      </c>
      <c r="I86" t="s">
        <v>229</v>
      </c>
      <c r="J86" t="s">
        <v>230</v>
      </c>
      <c r="K86" t="s">
        <v>353</v>
      </c>
      <c r="L86">
        <v>3</v>
      </c>
      <c r="M86">
        <v>2</v>
      </c>
      <c r="N86">
        <v>1802</v>
      </c>
      <c r="O86">
        <v>2004</v>
      </c>
      <c r="P86" t="s">
        <v>25</v>
      </c>
      <c r="Q86">
        <v>1018706612</v>
      </c>
      <c r="R86">
        <v>522354</v>
      </c>
    </row>
    <row r="87" spans="1:18" x14ac:dyDescent="0.2">
      <c r="A87" t="s">
        <v>354</v>
      </c>
      <c r="B87" t="s">
        <v>25</v>
      </c>
      <c r="C87" t="s">
        <v>25</v>
      </c>
      <c r="D87" t="s">
        <v>355</v>
      </c>
      <c r="E87" t="s">
        <v>28</v>
      </c>
      <c r="F87" t="s">
        <v>22</v>
      </c>
      <c r="G87">
        <v>98178</v>
      </c>
      <c r="H87" s="1">
        <v>46058.142453703702</v>
      </c>
      <c r="I87" t="s">
        <v>287</v>
      </c>
      <c r="J87" t="s">
        <v>288</v>
      </c>
      <c r="K87" t="s">
        <v>356</v>
      </c>
      <c r="L87">
        <v>6</v>
      </c>
      <c r="M87">
        <v>4</v>
      </c>
      <c r="N87">
        <v>4263</v>
      </c>
      <c r="O87">
        <v>2025</v>
      </c>
      <c r="P87" t="s">
        <v>25</v>
      </c>
      <c r="Q87">
        <v>1018706665</v>
      </c>
      <c r="R87">
        <v>522352</v>
      </c>
    </row>
    <row r="88" spans="1:18" x14ac:dyDescent="0.2">
      <c r="A88" t="s">
        <v>354</v>
      </c>
      <c r="B88" t="s">
        <v>25</v>
      </c>
      <c r="C88" t="s">
        <v>25</v>
      </c>
      <c r="D88" t="s">
        <v>357</v>
      </c>
      <c r="E88" t="s">
        <v>28</v>
      </c>
      <c r="F88" t="s">
        <v>22</v>
      </c>
      <c r="G88">
        <v>98178</v>
      </c>
      <c r="H88" s="1">
        <v>46058.142453703702</v>
      </c>
      <c r="I88" t="s">
        <v>287</v>
      </c>
      <c r="J88" t="s">
        <v>288</v>
      </c>
      <c r="K88" t="s">
        <v>358</v>
      </c>
      <c r="L88">
        <v>4</v>
      </c>
      <c r="M88">
        <v>2</v>
      </c>
      <c r="N88">
        <v>4883</v>
      </c>
      <c r="O88">
        <v>2025</v>
      </c>
      <c r="P88" t="s">
        <v>25</v>
      </c>
      <c r="Q88">
        <v>1018706672</v>
      </c>
      <c r="R88">
        <v>522351</v>
      </c>
    </row>
    <row r="89" spans="1:18" x14ac:dyDescent="0.2">
      <c r="A89" t="s">
        <v>298</v>
      </c>
      <c r="B89" t="s">
        <v>25</v>
      </c>
      <c r="C89" t="s">
        <v>25</v>
      </c>
      <c r="D89" t="s">
        <v>359</v>
      </c>
      <c r="E89" t="s">
        <v>28</v>
      </c>
      <c r="F89" t="s">
        <v>22</v>
      </c>
      <c r="G89">
        <v>98103</v>
      </c>
      <c r="H89" s="1">
        <v>46058.142453703702</v>
      </c>
      <c r="I89" t="s">
        <v>287</v>
      </c>
      <c r="J89" t="s">
        <v>288</v>
      </c>
      <c r="K89" t="s">
        <v>360</v>
      </c>
      <c r="L89">
        <v>3</v>
      </c>
      <c r="M89">
        <v>1</v>
      </c>
      <c r="N89">
        <v>1342</v>
      </c>
      <c r="O89">
        <v>2025</v>
      </c>
      <c r="P89" t="s">
        <v>25</v>
      </c>
      <c r="Q89">
        <v>1018706708</v>
      </c>
      <c r="R89">
        <v>522349</v>
      </c>
    </row>
    <row r="90" spans="1:18" x14ac:dyDescent="0.2">
      <c r="A90" t="s">
        <v>241</v>
      </c>
      <c r="B90" t="str">
        <f>HYPERLINK("tel:2068502277", "2068502277")</f>
        <v>2068502277</v>
      </c>
      <c r="C90" t="s">
        <v>25</v>
      </c>
      <c r="D90" t="s">
        <v>361</v>
      </c>
      <c r="E90" t="s">
        <v>28</v>
      </c>
      <c r="F90" t="s">
        <v>22</v>
      </c>
      <c r="G90">
        <v>98103</v>
      </c>
      <c r="H90" s="1">
        <v>46058.142453703702</v>
      </c>
      <c r="I90" t="s">
        <v>287</v>
      </c>
      <c r="J90" t="s">
        <v>230</v>
      </c>
      <c r="K90" t="s">
        <v>360</v>
      </c>
      <c r="L90">
        <v>3</v>
      </c>
      <c r="M90">
        <v>1</v>
      </c>
      <c r="N90">
        <v>1341</v>
      </c>
      <c r="O90">
        <v>2025</v>
      </c>
      <c r="P90" t="s">
        <v>25</v>
      </c>
      <c r="Q90">
        <v>1018706695</v>
      </c>
      <c r="R90">
        <v>522350</v>
      </c>
    </row>
    <row r="91" spans="1:18" x14ac:dyDescent="0.2">
      <c r="A91" t="s">
        <v>362</v>
      </c>
      <c r="B91" t="str">
        <f>HYPERLINK("tel:4253057455", "4253057455")</f>
        <v>4253057455</v>
      </c>
      <c r="C91" t="s">
        <v>25</v>
      </c>
      <c r="D91" t="s">
        <v>363</v>
      </c>
      <c r="E91" t="s">
        <v>364</v>
      </c>
      <c r="F91" t="s">
        <v>22</v>
      </c>
      <c r="G91">
        <v>98282</v>
      </c>
      <c r="H91" s="1">
        <v>46058.209062499998</v>
      </c>
      <c r="I91" t="s">
        <v>365</v>
      </c>
      <c r="J91" t="s">
        <v>365</v>
      </c>
      <c r="K91" t="s">
        <v>25</v>
      </c>
      <c r="L91">
        <v>3</v>
      </c>
      <c r="M91">
        <v>2</v>
      </c>
      <c r="N91">
        <v>1712</v>
      </c>
      <c r="O91">
        <v>2006</v>
      </c>
      <c r="P91" t="s">
        <v>25</v>
      </c>
      <c r="Q91">
        <v>1018723980</v>
      </c>
      <c r="R91">
        <v>522347</v>
      </c>
    </row>
    <row r="92" spans="1:18" x14ac:dyDescent="0.2">
      <c r="A92" t="s">
        <v>366</v>
      </c>
      <c r="B92" t="str">
        <f>HYPERLINK("tel:2533371028", "2533371028")</f>
        <v>2533371028</v>
      </c>
      <c r="C92" t="s">
        <v>367</v>
      </c>
      <c r="D92" t="s">
        <v>368</v>
      </c>
      <c r="E92" t="s">
        <v>271</v>
      </c>
      <c r="F92" t="s">
        <v>22</v>
      </c>
      <c r="G92">
        <v>98391</v>
      </c>
      <c r="H92" s="1">
        <v>46058.142453703702</v>
      </c>
      <c r="I92" t="s">
        <v>287</v>
      </c>
      <c r="J92" t="s">
        <v>230</v>
      </c>
      <c r="K92" t="s">
        <v>369</v>
      </c>
      <c r="L92">
        <v>3</v>
      </c>
      <c r="M92">
        <v>2</v>
      </c>
      <c r="N92">
        <v>1604</v>
      </c>
      <c r="O92">
        <v>1985</v>
      </c>
      <c r="P92" t="s">
        <v>25</v>
      </c>
      <c r="Q92">
        <v>1018706711</v>
      </c>
      <c r="R92">
        <v>522348</v>
      </c>
    </row>
    <row r="93" spans="1:18" x14ac:dyDescent="0.2">
      <c r="A93" t="s">
        <v>370</v>
      </c>
      <c r="B93" t="str">
        <f>HYPERLINK("tel:3603408186", "3603408186")</f>
        <v>3603408186</v>
      </c>
      <c r="C93" t="s">
        <v>25</v>
      </c>
      <c r="D93" t="s">
        <v>371</v>
      </c>
      <c r="E93" t="s">
        <v>372</v>
      </c>
      <c r="F93" t="s">
        <v>22</v>
      </c>
      <c r="G93">
        <v>98342</v>
      </c>
      <c r="H93" s="1">
        <v>46058.209062499998</v>
      </c>
      <c r="I93" t="s">
        <v>365</v>
      </c>
      <c r="J93" t="s">
        <v>365</v>
      </c>
      <c r="K93" t="s">
        <v>25</v>
      </c>
      <c r="L93">
        <v>3</v>
      </c>
      <c r="M93">
        <v>2</v>
      </c>
      <c r="N93">
        <v>2018</v>
      </c>
      <c r="O93">
        <v>1973</v>
      </c>
      <c r="P93" t="s">
        <v>25</v>
      </c>
      <c r="Q93">
        <v>1018723981</v>
      </c>
      <c r="R93">
        <v>522346</v>
      </c>
    </row>
    <row r="94" spans="1:18" x14ac:dyDescent="0.2">
      <c r="A94" t="s">
        <v>373</v>
      </c>
      <c r="B94" t="str">
        <f>HYPERLINK("tel:2067349051", "2067349051")</f>
        <v>2067349051</v>
      </c>
      <c r="C94" t="s">
        <v>25</v>
      </c>
      <c r="D94" t="s">
        <v>374</v>
      </c>
      <c r="E94" t="s">
        <v>28</v>
      </c>
      <c r="F94" t="s">
        <v>22</v>
      </c>
      <c r="G94">
        <v>98136</v>
      </c>
      <c r="H94" s="1">
        <v>46057.144016203703</v>
      </c>
      <c r="I94" t="s">
        <v>29</v>
      </c>
      <c r="J94" t="s">
        <v>30</v>
      </c>
      <c r="K94" t="s">
        <v>375</v>
      </c>
      <c r="L94">
        <v>2</v>
      </c>
      <c r="M94">
        <v>1</v>
      </c>
      <c r="N94">
        <v>1030</v>
      </c>
      <c r="O94">
        <v>1950</v>
      </c>
      <c r="P94" t="s">
        <v>25</v>
      </c>
      <c r="Q94">
        <v>1018465141</v>
      </c>
      <c r="R94">
        <v>522123</v>
      </c>
    </row>
    <row r="95" spans="1:18" x14ac:dyDescent="0.2">
      <c r="A95" t="s">
        <v>376</v>
      </c>
      <c r="B95" t="str">
        <f>HYPERLINK("tel:2068879697", "2068879697")</f>
        <v>2068879697</v>
      </c>
      <c r="C95" t="s">
        <v>25</v>
      </c>
      <c r="D95" t="s">
        <v>377</v>
      </c>
      <c r="E95" t="s">
        <v>378</v>
      </c>
      <c r="F95" t="s">
        <v>22</v>
      </c>
      <c r="G95">
        <v>98038</v>
      </c>
      <c r="H95" s="1">
        <v>46057.144016203703</v>
      </c>
      <c r="I95" t="s">
        <v>29</v>
      </c>
      <c r="J95" t="s">
        <v>30</v>
      </c>
      <c r="K95" t="s">
        <v>379</v>
      </c>
      <c r="L95">
        <v>5</v>
      </c>
      <c r="M95">
        <v>3</v>
      </c>
      <c r="N95">
        <v>2640</v>
      </c>
      <c r="O95">
        <v>2005</v>
      </c>
      <c r="P95" t="s">
        <v>25</v>
      </c>
      <c r="Q95">
        <v>1018465138</v>
      </c>
      <c r="R95">
        <v>522124</v>
      </c>
    </row>
    <row r="96" spans="1:18" x14ac:dyDescent="0.2">
      <c r="A96" t="s">
        <v>380</v>
      </c>
      <c r="B96" t="str">
        <f>HYPERLINK("tel:4015843911", "4015843911")</f>
        <v>4015843911</v>
      </c>
      <c r="C96" t="s">
        <v>25</v>
      </c>
      <c r="D96" t="s">
        <v>381</v>
      </c>
      <c r="E96" t="s">
        <v>143</v>
      </c>
      <c r="F96" t="s">
        <v>22</v>
      </c>
      <c r="G96">
        <v>98374</v>
      </c>
      <c r="H96" s="1">
        <v>46057.144016203703</v>
      </c>
      <c r="I96" t="s">
        <v>29</v>
      </c>
      <c r="J96" t="s">
        <v>30</v>
      </c>
      <c r="K96" t="s">
        <v>382</v>
      </c>
      <c r="L96">
        <v>2</v>
      </c>
      <c r="M96">
        <v>1</v>
      </c>
      <c r="N96">
        <v>1780</v>
      </c>
      <c r="O96" t="s">
        <v>25</v>
      </c>
      <c r="P96" t="s">
        <v>25</v>
      </c>
      <c r="Q96">
        <v>1018465146</v>
      </c>
      <c r="R96">
        <v>522121</v>
      </c>
    </row>
    <row r="97" spans="1:18" x14ac:dyDescent="0.2">
      <c r="A97" t="s">
        <v>383</v>
      </c>
      <c r="B97" t="str">
        <f>HYPERLINK("tel:2068563134", "2068563134")</f>
        <v>2068563134</v>
      </c>
      <c r="C97" t="s">
        <v>384</v>
      </c>
      <c r="D97" t="s">
        <v>385</v>
      </c>
      <c r="E97" t="s">
        <v>28</v>
      </c>
      <c r="F97" t="s">
        <v>22</v>
      </c>
      <c r="G97">
        <v>98119</v>
      </c>
      <c r="H97" s="1">
        <v>46057.144016203703</v>
      </c>
      <c r="I97" t="s">
        <v>29</v>
      </c>
      <c r="J97" t="s">
        <v>30</v>
      </c>
      <c r="K97" t="s">
        <v>386</v>
      </c>
      <c r="L97">
        <v>2</v>
      </c>
      <c r="M97">
        <v>3</v>
      </c>
      <c r="N97">
        <v>1100</v>
      </c>
      <c r="O97">
        <v>1998</v>
      </c>
      <c r="P97" t="s">
        <v>25</v>
      </c>
      <c r="Q97">
        <v>1018465144</v>
      </c>
      <c r="R97">
        <v>522122</v>
      </c>
    </row>
    <row r="98" spans="1:18" x14ac:dyDescent="0.2">
      <c r="A98" t="s">
        <v>387</v>
      </c>
      <c r="B98" t="str">
        <f>HYPERLINK("tel:5102290906", "5102290906")</f>
        <v>5102290906</v>
      </c>
      <c r="C98" t="s">
        <v>388</v>
      </c>
      <c r="D98" t="s">
        <v>389</v>
      </c>
      <c r="E98" t="s">
        <v>28</v>
      </c>
      <c r="F98" t="s">
        <v>22</v>
      </c>
      <c r="G98">
        <v>98119</v>
      </c>
      <c r="H98" s="1">
        <v>46057.144016203703</v>
      </c>
      <c r="I98" t="s">
        <v>29</v>
      </c>
      <c r="J98" t="s">
        <v>30</v>
      </c>
      <c r="K98" t="s">
        <v>390</v>
      </c>
      <c r="L98">
        <v>4</v>
      </c>
      <c r="M98">
        <v>3</v>
      </c>
      <c r="N98">
        <v>2110</v>
      </c>
      <c r="O98">
        <v>2019</v>
      </c>
      <c r="P98" t="s">
        <v>25</v>
      </c>
      <c r="Q98">
        <v>1018465150</v>
      </c>
      <c r="R98">
        <v>522119</v>
      </c>
    </row>
    <row r="99" spans="1:18" x14ac:dyDescent="0.2">
      <c r="A99" t="s">
        <v>391</v>
      </c>
      <c r="B99" t="str">
        <f>HYPERLINK("tel:4053179360", "4053179360")</f>
        <v>4053179360</v>
      </c>
      <c r="C99" t="s">
        <v>25</v>
      </c>
      <c r="D99" t="s">
        <v>392</v>
      </c>
      <c r="E99" t="s">
        <v>47</v>
      </c>
      <c r="F99" t="s">
        <v>22</v>
      </c>
      <c r="G99">
        <v>98052</v>
      </c>
      <c r="H99" s="1">
        <v>46057.144016203703</v>
      </c>
      <c r="I99" t="s">
        <v>29</v>
      </c>
      <c r="J99" t="s">
        <v>30</v>
      </c>
      <c r="K99" t="s">
        <v>393</v>
      </c>
      <c r="L99">
        <v>2</v>
      </c>
      <c r="M99">
        <v>2</v>
      </c>
      <c r="N99">
        <v>1130</v>
      </c>
      <c r="O99">
        <v>2010</v>
      </c>
      <c r="P99" t="s">
        <v>25</v>
      </c>
      <c r="Q99">
        <v>1018465148</v>
      </c>
      <c r="R99">
        <v>522120</v>
      </c>
    </row>
    <row r="100" spans="1:18" x14ac:dyDescent="0.2">
      <c r="A100" t="s">
        <v>394</v>
      </c>
      <c r="B100" t="str">
        <f>HYPERLINK("tel:6512423599", "6512423599")</f>
        <v>6512423599</v>
      </c>
      <c r="C100" t="s">
        <v>395</v>
      </c>
      <c r="D100" t="s">
        <v>396</v>
      </c>
      <c r="E100" t="s">
        <v>149</v>
      </c>
      <c r="F100" t="s">
        <v>22</v>
      </c>
      <c r="G100">
        <v>98074</v>
      </c>
      <c r="H100" s="1">
        <v>46057.144016203703</v>
      </c>
      <c r="I100" t="s">
        <v>29</v>
      </c>
      <c r="J100" t="s">
        <v>30</v>
      </c>
      <c r="K100" t="s">
        <v>397</v>
      </c>
      <c r="L100">
        <v>3</v>
      </c>
      <c r="M100">
        <v>2</v>
      </c>
      <c r="N100">
        <v>1280</v>
      </c>
      <c r="O100">
        <v>1981</v>
      </c>
      <c r="P100" t="s">
        <v>25</v>
      </c>
      <c r="Q100">
        <v>1018465153</v>
      </c>
      <c r="R100">
        <v>522118</v>
      </c>
    </row>
    <row r="101" spans="1:18" x14ac:dyDescent="0.2">
      <c r="A101" t="s">
        <v>398</v>
      </c>
      <c r="B101" t="str">
        <f>HYPERLINK("tel:2065528644", "2065528644")</f>
        <v>2065528644</v>
      </c>
      <c r="C101" t="s">
        <v>25</v>
      </c>
      <c r="D101" t="s">
        <v>399</v>
      </c>
      <c r="E101" t="s">
        <v>126</v>
      </c>
      <c r="F101" t="s">
        <v>22</v>
      </c>
      <c r="G101">
        <v>98337</v>
      </c>
      <c r="H101" s="1">
        <v>46057.144016203703</v>
      </c>
      <c r="I101" t="s">
        <v>29</v>
      </c>
      <c r="J101" t="s">
        <v>30</v>
      </c>
      <c r="K101" t="s">
        <v>400</v>
      </c>
      <c r="L101">
        <v>1</v>
      </c>
      <c r="M101">
        <v>1</v>
      </c>
      <c r="N101">
        <v>550</v>
      </c>
      <c r="O101" t="s">
        <v>25</v>
      </c>
      <c r="P101" t="s">
        <v>25</v>
      </c>
      <c r="Q101">
        <v>1018465158</v>
      </c>
      <c r="R101">
        <v>522116</v>
      </c>
    </row>
    <row r="102" spans="1:18" x14ac:dyDescent="0.2">
      <c r="A102" t="s">
        <v>401</v>
      </c>
      <c r="B102" t="str">
        <f>HYPERLINK("tel:4258025888", "4258025888")</f>
        <v>4258025888</v>
      </c>
      <c r="C102" t="s">
        <v>25</v>
      </c>
      <c r="D102" t="s">
        <v>402</v>
      </c>
      <c r="E102" t="s">
        <v>28</v>
      </c>
      <c r="F102" t="s">
        <v>22</v>
      </c>
      <c r="G102">
        <v>98108</v>
      </c>
      <c r="H102" s="1">
        <v>46057.144016203703</v>
      </c>
      <c r="I102" t="s">
        <v>29</v>
      </c>
      <c r="J102" t="s">
        <v>30</v>
      </c>
      <c r="K102" t="s">
        <v>403</v>
      </c>
      <c r="L102">
        <v>1</v>
      </c>
      <c r="M102">
        <v>1</v>
      </c>
      <c r="N102">
        <v>675</v>
      </c>
      <c r="O102" t="s">
        <v>25</v>
      </c>
      <c r="P102" t="s">
        <v>25</v>
      </c>
      <c r="Q102">
        <v>1018465155</v>
      </c>
      <c r="R102">
        <v>522117</v>
      </c>
    </row>
    <row r="103" spans="1:18" x14ac:dyDescent="0.2">
      <c r="A103" t="s">
        <v>404</v>
      </c>
      <c r="B103" t="str">
        <f>HYPERLINK("tel:2535798186", "2535798186")</f>
        <v>2535798186</v>
      </c>
      <c r="C103" t="s">
        <v>25</v>
      </c>
      <c r="D103" t="s">
        <v>405</v>
      </c>
      <c r="E103" t="s">
        <v>21</v>
      </c>
      <c r="F103" t="s">
        <v>22</v>
      </c>
      <c r="G103">
        <v>98387</v>
      </c>
      <c r="H103" s="1">
        <v>46057.144016203703</v>
      </c>
      <c r="I103" t="s">
        <v>29</v>
      </c>
      <c r="J103" t="s">
        <v>30</v>
      </c>
      <c r="K103" t="s">
        <v>406</v>
      </c>
      <c r="L103">
        <v>4</v>
      </c>
      <c r="M103">
        <v>2</v>
      </c>
      <c r="N103">
        <v>1870</v>
      </c>
      <c r="O103">
        <v>2015</v>
      </c>
      <c r="P103" t="s">
        <v>25</v>
      </c>
      <c r="Q103">
        <v>1018465162</v>
      </c>
      <c r="R103">
        <v>522114</v>
      </c>
    </row>
    <row r="104" spans="1:18" x14ac:dyDescent="0.2">
      <c r="A104" t="s">
        <v>407</v>
      </c>
      <c r="B104" t="str">
        <f>HYPERLINK("tel:2533105663", "2533105663")</f>
        <v>2533105663</v>
      </c>
      <c r="C104" t="s">
        <v>408</v>
      </c>
      <c r="D104" t="s">
        <v>409</v>
      </c>
      <c r="E104" t="s">
        <v>143</v>
      </c>
      <c r="F104" t="s">
        <v>22</v>
      </c>
      <c r="G104">
        <v>98373</v>
      </c>
      <c r="H104" s="1">
        <v>46057.144016203703</v>
      </c>
      <c r="I104" t="s">
        <v>29</v>
      </c>
      <c r="J104" t="s">
        <v>30</v>
      </c>
      <c r="K104" t="s">
        <v>410</v>
      </c>
      <c r="L104">
        <v>3</v>
      </c>
      <c r="M104">
        <v>2</v>
      </c>
      <c r="N104">
        <v>1209</v>
      </c>
      <c r="O104">
        <v>2006</v>
      </c>
      <c r="P104" t="s">
        <v>25</v>
      </c>
      <c r="Q104">
        <v>1018465160</v>
      </c>
      <c r="R104">
        <v>522115</v>
      </c>
    </row>
    <row r="105" spans="1:18" x14ac:dyDescent="0.2">
      <c r="A105" t="s">
        <v>411</v>
      </c>
      <c r="B105" t="str">
        <f>HYPERLINK("tel:7025956681", "7025956681")</f>
        <v>7025956681</v>
      </c>
      <c r="C105" t="s">
        <v>25</v>
      </c>
      <c r="D105" t="s">
        <v>412</v>
      </c>
      <c r="E105" t="s">
        <v>172</v>
      </c>
      <c r="F105" t="s">
        <v>22</v>
      </c>
      <c r="G105">
        <v>98198</v>
      </c>
      <c r="H105" s="1">
        <v>46057.14402777778</v>
      </c>
      <c r="I105" t="s">
        <v>29</v>
      </c>
      <c r="J105" t="s">
        <v>30</v>
      </c>
      <c r="K105" t="s">
        <v>413</v>
      </c>
      <c r="L105">
        <v>2</v>
      </c>
      <c r="M105">
        <v>1</v>
      </c>
      <c r="N105">
        <v>781</v>
      </c>
      <c r="O105">
        <v>2005</v>
      </c>
      <c r="P105" t="s">
        <v>25</v>
      </c>
      <c r="Q105">
        <v>1018465166</v>
      </c>
      <c r="R105">
        <v>522112</v>
      </c>
    </row>
    <row r="106" spans="1:18" x14ac:dyDescent="0.2">
      <c r="A106" t="s">
        <v>414</v>
      </c>
      <c r="B106" t="str">
        <f>HYPERLINK("tel:3604776859", "3604776859")</f>
        <v>3604776859</v>
      </c>
      <c r="C106" t="s">
        <v>415</v>
      </c>
      <c r="D106" t="s">
        <v>416</v>
      </c>
      <c r="E106" t="s">
        <v>417</v>
      </c>
      <c r="F106" t="s">
        <v>22</v>
      </c>
      <c r="G106">
        <v>98382</v>
      </c>
      <c r="H106" s="1">
        <v>46057.144016203703</v>
      </c>
      <c r="I106" t="s">
        <v>29</v>
      </c>
      <c r="J106" t="s">
        <v>30</v>
      </c>
      <c r="K106" t="s">
        <v>418</v>
      </c>
      <c r="L106">
        <v>2</v>
      </c>
      <c r="M106">
        <v>2</v>
      </c>
      <c r="N106">
        <v>1248</v>
      </c>
      <c r="O106">
        <v>1967</v>
      </c>
      <c r="P106" t="s">
        <v>25</v>
      </c>
      <c r="Q106">
        <v>1018465164</v>
      </c>
      <c r="R106">
        <v>522113</v>
      </c>
    </row>
    <row r="107" spans="1:18" x14ac:dyDescent="0.2">
      <c r="A107" t="s">
        <v>419</v>
      </c>
      <c r="B107" t="str">
        <f>HYPERLINK("tel:2067522379", "2067522379")</f>
        <v>2067522379</v>
      </c>
      <c r="C107" t="s">
        <v>25</v>
      </c>
      <c r="D107" t="s">
        <v>420</v>
      </c>
      <c r="E107" t="s">
        <v>113</v>
      </c>
      <c r="F107" t="s">
        <v>22</v>
      </c>
      <c r="G107">
        <v>98201</v>
      </c>
      <c r="H107" s="1">
        <v>46057.14402777778</v>
      </c>
      <c r="I107" t="s">
        <v>29</v>
      </c>
      <c r="J107" t="s">
        <v>30</v>
      </c>
      <c r="K107" t="s">
        <v>421</v>
      </c>
      <c r="L107">
        <v>3</v>
      </c>
      <c r="M107">
        <v>1</v>
      </c>
      <c r="N107">
        <v>1000</v>
      </c>
      <c r="O107" t="s">
        <v>25</v>
      </c>
      <c r="P107" t="s">
        <v>25</v>
      </c>
      <c r="Q107">
        <v>1018465168</v>
      </c>
      <c r="R107">
        <v>522111</v>
      </c>
    </row>
    <row r="108" spans="1:18" x14ac:dyDescent="0.2">
      <c r="A108" t="s">
        <v>422</v>
      </c>
      <c r="B108" t="str">
        <f>HYPERLINK("tel:2063210638", "2063210638")</f>
        <v>2063210638</v>
      </c>
      <c r="C108" t="s">
        <v>423</v>
      </c>
      <c r="D108" t="s">
        <v>424</v>
      </c>
      <c r="E108" t="s">
        <v>28</v>
      </c>
      <c r="F108" t="s">
        <v>22</v>
      </c>
      <c r="G108">
        <v>98101</v>
      </c>
      <c r="H108" s="1">
        <v>46057.14402777778</v>
      </c>
      <c r="I108" t="s">
        <v>29</v>
      </c>
      <c r="J108" t="s">
        <v>30</v>
      </c>
      <c r="K108" t="s">
        <v>425</v>
      </c>
      <c r="L108">
        <v>0</v>
      </c>
      <c r="M108">
        <v>1</v>
      </c>
      <c r="N108">
        <v>440</v>
      </c>
      <c r="O108">
        <v>2001</v>
      </c>
      <c r="P108" t="s">
        <v>25</v>
      </c>
      <c r="Q108">
        <v>1018465171</v>
      </c>
      <c r="R108">
        <v>522109</v>
      </c>
    </row>
    <row r="109" spans="1:18" x14ac:dyDescent="0.2">
      <c r="A109" t="s">
        <v>426</v>
      </c>
      <c r="B109" t="str">
        <f>HYPERLINK("tel:2069729950", "2069729950")</f>
        <v>2069729950</v>
      </c>
      <c r="C109" t="s">
        <v>25</v>
      </c>
      <c r="D109" t="s">
        <v>427</v>
      </c>
      <c r="E109" t="s">
        <v>28</v>
      </c>
      <c r="F109" t="s">
        <v>22</v>
      </c>
      <c r="G109">
        <v>98109</v>
      </c>
      <c r="H109" s="1">
        <v>46057.14402777778</v>
      </c>
      <c r="I109" t="s">
        <v>29</v>
      </c>
      <c r="J109" t="s">
        <v>30</v>
      </c>
      <c r="K109" t="s">
        <v>428</v>
      </c>
      <c r="L109">
        <v>1</v>
      </c>
      <c r="M109">
        <v>1</v>
      </c>
      <c r="N109">
        <v>500</v>
      </c>
      <c r="O109" t="s">
        <v>25</v>
      </c>
      <c r="P109" t="s">
        <v>25</v>
      </c>
      <c r="Q109">
        <v>1018465170</v>
      </c>
      <c r="R109">
        <v>522110</v>
      </c>
    </row>
    <row r="110" spans="1:18" x14ac:dyDescent="0.2">
      <c r="A110" t="s">
        <v>429</v>
      </c>
      <c r="B110" t="str">
        <f>HYPERLINK("tel:2063486804", "2063486804")</f>
        <v>2063486804</v>
      </c>
      <c r="C110" t="s">
        <v>25</v>
      </c>
      <c r="D110" t="s">
        <v>430</v>
      </c>
      <c r="E110" t="s">
        <v>431</v>
      </c>
      <c r="F110" t="s">
        <v>22</v>
      </c>
      <c r="G110">
        <v>98392</v>
      </c>
      <c r="H110" s="1">
        <v>46057.14402777778</v>
      </c>
      <c r="I110" t="s">
        <v>29</v>
      </c>
      <c r="J110" t="s">
        <v>30</v>
      </c>
      <c r="K110" t="s">
        <v>432</v>
      </c>
      <c r="L110">
        <v>1</v>
      </c>
      <c r="M110">
        <v>1</v>
      </c>
      <c r="N110">
        <v>580</v>
      </c>
      <c r="O110" t="s">
        <v>25</v>
      </c>
      <c r="P110" t="s">
        <v>25</v>
      </c>
      <c r="Q110">
        <v>1018465176</v>
      </c>
      <c r="R110">
        <v>522107</v>
      </c>
    </row>
    <row r="111" spans="1:18" x14ac:dyDescent="0.2">
      <c r="A111" t="s">
        <v>433</v>
      </c>
      <c r="B111" t="str">
        <f>HYPERLINK("tel:3606536823", "3606536823")</f>
        <v>3606536823</v>
      </c>
      <c r="C111" t="s">
        <v>25</v>
      </c>
      <c r="D111" t="s">
        <v>434</v>
      </c>
      <c r="E111" t="s">
        <v>212</v>
      </c>
      <c r="F111" t="s">
        <v>22</v>
      </c>
      <c r="G111">
        <v>98270</v>
      </c>
      <c r="H111" s="1">
        <v>46057.14402777778</v>
      </c>
      <c r="I111" t="s">
        <v>29</v>
      </c>
      <c r="J111" t="s">
        <v>30</v>
      </c>
      <c r="K111" t="s">
        <v>435</v>
      </c>
      <c r="L111">
        <v>3</v>
      </c>
      <c r="M111">
        <v>2</v>
      </c>
      <c r="N111">
        <v>1106</v>
      </c>
      <c r="O111">
        <v>1994</v>
      </c>
      <c r="P111" t="s">
        <v>25</v>
      </c>
      <c r="Q111">
        <v>1018465173</v>
      </c>
      <c r="R111">
        <v>522108</v>
      </c>
    </row>
    <row r="112" spans="1:18" x14ac:dyDescent="0.2">
      <c r="A112" t="s">
        <v>436</v>
      </c>
      <c r="B112" t="str">
        <f>HYPERLINK("tel:2066406916", "2066406916")</f>
        <v>2066406916</v>
      </c>
      <c r="C112" t="s">
        <v>25</v>
      </c>
      <c r="D112" t="s">
        <v>437</v>
      </c>
      <c r="E112" t="s">
        <v>149</v>
      </c>
      <c r="F112" t="s">
        <v>22</v>
      </c>
      <c r="G112">
        <v>98029</v>
      </c>
      <c r="H112" s="1">
        <v>46057.14402777778</v>
      </c>
      <c r="I112" t="s">
        <v>29</v>
      </c>
      <c r="J112" t="s">
        <v>30</v>
      </c>
      <c r="K112" t="s">
        <v>438</v>
      </c>
      <c r="L112">
        <v>3</v>
      </c>
      <c r="M112">
        <v>1</v>
      </c>
      <c r="N112">
        <v>1140</v>
      </c>
      <c r="O112">
        <v>1988</v>
      </c>
      <c r="P112" t="s">
        <v>25</v>
      </c>
      <c r="Q112">
        <v>1018465179</v>
      </c>
      <c r="R112">
        <v>522106</v>
      </c>
    </row>
    <row r="113" spans="1:18" x14ac:dyDescent="0.2">
      <c r="A113" t="s">
        <v>439</v>
      </c>
      <c r="B113" t="str">
        <f>HYPERLINK("tel:7162593589", "7162593589")</f>
        <v>7162593589</v>
      </c>
      <c r="C113" t="s">
        <v>440</v>
      </c>
      <c r="D113" t="s">
        <v>441</v>
      </c>
      <c r="E113" t="s">
        <v>113</v>
      </c>
      <c r="F113" t="s">
        <v>22</v>
      </c>
      <c r="G113">
        <v>98208</v>
      </c>
      <c r="H113" s="1">
        <v>46057.14402777778</v>
      </c>
      <c r="I113" t="s">
        <v>29</v>
      </c>
      <c r="J113" t="s">
        <v>30</v>
      </c>
      <c r="K113" t="s">
        <v>442</v>
      </c>
      <c r="L113">
        <v>3</v>
      </c>
      <c r="M113">
        <v>2</v>
      </c>
      <c r="N113">
        <v>1296</v>
      </c>
      <c r="O113">
        <v>1977</v>
      </c>
      <c r="P113" t="s">
        <v>25</v>
      </c>
      <c r="Q113">
        <v>1018465185</v>
      </c>
      <c r="R113">
        <v>522104</v>
      </c>
    </row>
    <row r="114" spans="1:18" x14ac:dyDescent="0.2">
      <c r="A114" t="s">
        <v>443</v>
      </c>
      <c r="B114" t="str">
        <f>HYPERLINK("tel:2062259295", "2062259295")</f>
        <v>2062259295</v>
      </c>
      <c r="C114" t="s">
        <v>444</v>
      </c>
      <c r="D114" t="s">
        <v>445</v>
      </c>
      <c r="E114" t="s">
        <v>51</v>
      </c>
      <c r="F114" t="s">
        <v>22</v>
      </c>
      <c r="G114">
        <v>98026</v>
      </c>
      <c r="H114" s="1">
        <v>46057.14402777778</v>
      </c>
      <c r="I114" t="s">
        <v>29</v>
      </c>
      <c r="J114" t="s">
        <v>30</v>
      </c>
      <c r="K114" t="s">
        <v>446</v>
      </c>
      <c r="L114">
        <v>3</v>
      </c>
      <c r="M114">
        <v>1</v>
      </c>
      <c r="N114">
        <v>1320</v>
      </c>
      <c r="O114">
        <v>1965</v>
      </c>
      <c r="P114" t="s">
        <v>25</v>
      </c>
      <c r="Q114">
        <v>1018465181</v>
      </c>
      <c r="R114">
        <v>522105</v>
      </c>
    </row>
    <row r="115" spans="1:18" x14ac:dyDescent="0.2">
      <c r="A115" t="s">
        <v>447</v>
      </c>
      <c r="B115" t="str">
        <f>HYPERLINK("tel:4256230701", "4256230701")</f>
        <v>4256230701</v>
      </c>
      <c r="C115" t="s">
        <v>448</v>
      </c>
      <c r="D115" t="s">
        <v>449</v>
      </c>
      <c r="E115" t="s">
        <v>134</v>
      </c>
      <c r="F115" t="s">
        <v>22</v>
      </c>
      <c r="G115">
        <v>98012</v>
      </c>
      <c r="H115" s="1">
        <v>46057.14402777778</v>
      </c>
      <c r="I115" t="s">
        <v>29</v>
      </c>
      <c r="J115" t="s">
        <v>30</v>
      </c>
      <c r="K115" t="s">
        <v>450</v>
      </c>
      <c r="L115">
        <v>2</v>
      </c>
      <c r="M115">
        <v>2</v>
      </c>
      <c r="N115">
        <v>1200</v>
      </c>
      <c r="O115">
        <v>2013</v>
      </c>
      <c r="P115" t="s">
        <v>25</v>
      </c>
      <c r="Q115">
        <v>1018465190</v>
      </c>
      <c r="R115">
        <v>522102</v>
      </c>
    </row>
    <row r="116" spans="1:18" x14ac:dyDescent="0.2">
      <c r="A116" t="s">
        <v>451</v>
      </c>
      <c r="B116" t="str">
        <f>HYPERLINK("tel:4805196952", "4805196952")</f>
        <v>4805196952</v>
      </c>
      <c r="C116" t="s">
        <v>452</v>
      </c>
      <c r="D116" t="s">
        <v>453</v>
      </c>
      <c r="E116" t="s">
        <v>134</v>
      </c>
      <c r="F116" t="s">
        <v>22</v>
      </c>
      <c r="G116">
        <v>98011</v>
      </c>
      <c r="H116" s="1">
        <v>46057.14402777778</v>
      </c>
      <c r="I116" t="s">
        <v>29</v>
      </c>
      <c r="J116" t="s">
        <v>30</v>
      </c>
      <c r="K116" t="s">
        <v>454</v>
      </c>
      <c r="L116">
        <v>2</v>
      </c>
      <c r="M116">
        <v>2</v>
      </c>
      <c r="N116">
        <v>1163</v>
      </c>
      <c r="O116">
        <v>1999</v>
      </c>
      <c r="P116" t="s">
        <v>25</v>
      </c>
      <c r="Q116">
        <v>1018465188</v>
      </c>
      <c r="R116">
        <v>522103</v>
      </c>
    </row>
    <row r="117" spans="1:18" x14ac:dyDescent="0.2">
      <c r="A117" t="s">
        <v>455</v>
      </c>
      <c r="B117" t="str">
        <f>HYPERLINK("tel:2064121175", "2064121175")</f>
        <v>2064121175</v>
      </c>
      <c r="C117" t="s">
        <v>456</v>
      </c>
      <c r="D117" t="s">
        <v>457</v>
      </c>
      <c r="E117" t="s">
        <v>28</v>
      </c>
      <c r="F117" t="s">
        <v>22</v>
      </c>
      <c r="G117">
        <v>98117</v>
      </c>
      <c r="H117" s="1">
        <v>46057.14402777778</v>
      </c>
      <c r="I117" t="s">
        <v>29</v>
      </c>
      <c r="J117" t="s">
        <v>30</v>
      </c>
      <c r="K117" t="s">
        <v>458</v>
      </c>
      <c r="L117">
        <v>1</v>
      </c>
      <c r="M117">
        <v>1</v>
      </c>
      <c r="N117">
        <v>1790</v>
      </c>
      <c r="O117">
        <v>1910</v>
      </c>
      <c r="P117" t="s">
        <v>25</v>
      </c>
      <c r="Q117">
        <v>1018465196</v>
      </c>
      <c r="R117">
        <v>522100</v>
      </c>
    </row>
    <row r="118" spans="1:18" x14ac:dyDescent="0.2">
      <c r="A118" t="s">
        <v>459</v>
      </c>
      <c r="B118" t="str">
        <f>HYPERLINK("tel:4256785158", "4256785158")</f>
        <v>4256785158</v>
      </c>
      <c r="C118" t="s">
        <v>25</v>
      </c>
      <c r="D118" t="s">
        <v>460</v>
      </c>
      <c r="E118" t="s">
        <v>28</v>
      </c>
      <c r="F118" t="s">
        <v>22</v>
      </c>
      <c r="G118">
        <v>98117</v>
      </c>
      <c r="H118" s="1">
        <v>46057.14402777778</v>
      </c>
      <c r="I118" t="s">
        <v>29</v>
      </c>
      <c r="J118" t="s">
        <v>30</v>
      </c>
      <c r="K118" t="s">
        <v>461</v>
      </c>
      <c r="L118">
        <v>3</v>
      </c>
      <c r="M118">
        <v>2</v>
      </c>
      <c r="N118">
        <v>830</v>
      </c>
      <c r="O118">
        <v>1944</v>
      </c>
      <c r="P118" t="s">
        <v>25</v>
      </c>
      <c r="Q118">
        <v>1018465193</v>
      </c>
      <c r="R118">
        <v>522101</v>
      </c>
    </row>
    <row r="119" spans="1:18" x14ac:dyDescent="0.2">
      <c r="A119" t="s">
        <v>462</v>
      </c>
      <c r="B119" t="str">
        <f>HYPERLINK("tel:4256253199", "4256253199")</f>
        <v>4256253199</v>
      </c>
      <c r="C119" t="s">
        <v>25</v>
      </c>
      <c r="D119" t="s">
        <v>463</v>
      </c>
      <c r="E119" t="s">
        <v>464</v>
      </c>
      <c r="F119" t="s">
        <v>22</v>
      </c>
      <c r="G119">
        <v>98335</v>
      </c>
      <c r="H119" s="1">
        <v>46057.14402777778</v>
      </c>
      <c r="I119" t="s">
        <v>29</v>
      </c>
      <c r="J119" t="s">
        <v>30</v>
      </c>
      <c r="K119" t="s">
        <v>465</v>
      </c>
      <c r="L119">
        <v>2</v>
      </c>
      <c r="M119">
        <v>2</v>
      </c>
      <c r="N119">
        <v>1430</v>
      </c>
      <c r="O119" t="s">
        <v>25</v>
      </c>
      <c r="P119" t="s">
        <v>25</v>
      </c>
      <c r="Q119">
        <v>1018465199</v>
      </c>
      <c r="R119">
        <v>522099</v>
      </c>
    </row>
    <row r="120" spans="1:18" x14ac:dyDescent="0.2">
      <c r="A120" t="s">
        <v>466</v>
      </c>
      <c r="B120" t="str">
        <f>HYPERLINK("tel:4253196877", "4253196877")</f>
        <v>4253196877</v>
      </c>
      <c r="C120" t="s">
        <v>25</v>
      </c>
      <c r="D120" t="s">
        <v>467</v>
      </c>
      <c r="E120" t="s">
        <v>468</v>
      </c>
      <c r="F120" t="s">
        <v>22</v>
      </c>
      <c r="G120">
        <v>98290</v>
      </c>
      <c r="H120" s="1">
        <v>46057.14402777778</v>
      </c>
      <c r="I120" t="s">
        <v>29</v>
      </c>
      <c r="J120" t="s">
        <v>30</v>
      </c>
      <c r="K120" t="s">
        <v>469</v>
      </c>
      <c r="L120">
        <v>3</v>
      </c>
      <c r="M120">
        <v>2</v>
      </c>
      <c r="N120">
        <v>1400</v>
      </c>
      <c r="O120" t="s">
        <v>25</v>
      </c>
      <c r="P120" t="s">
        <v>25</v>
      </c>
      <c r="Q120">
        <v>1018465205</v>
      </c>
      <c r="R120">
        <v>522097</v>
      </c>
    </row>
    <row r="121" spans="1:18" x14ac:dyDescent="0.2">
      <c r="A121" t="s">
        <v>470</v>
      </c>
      <c r="B121" t="str">
        <f>HYPERLINK("tel:2064721083", "2064721083")</f>
        <v>2064721083</v>
      </c>
      <c r="C121" t="s">
        <v>25</v>
      </c>
      <c r="D121" t="s">
        <v>471</v>
      </c>
      <c r="E121" t="s">
        <v>28</v>
      </c>
      <c r="F121" t="s">
        <v>22</v>
      </c>
      <c r="G121">
        <v>98115</v>
      </c>
      <c r="H121" s="1">
        <v>46057.14402777778</v>
      </c>
      <c r="I121" t="s">
        <v>29</v>
      </c>
      <c r="J121" t="s">
        <v>30</v>
      </c>
      <c r="K121" t="s">
        <v>472</v>
      </c>
      <c r="L121">
        <v>3</v>
      </c>
      <c r="M121">
        <v>3</v>
      </c>
      <c r="N121">
        <v>0</v>
      </c>
      <c r="O121">
        <v>2022</v>
      </c>
      <c r="P121" t="s">
        <v>25</v>
      </c>
      <c r="Q121">
        <v>1018465202</v>
      </c>
      <c r="R121">
        <v>522098</v>
      </c>
    </row>
    <row r="122" spans="1:18" x14ac:dyDescent="0.2">
      <c r="A122" t="s">
        <v>473</v>
      </c>
      <c r="B122" t="str">
        <f>HYPERLINK("tel:4253639919", "4253639919")</f>
        <v>4253639919</v>
      </c>
      <c r="C122" t="s">
        <v>474</v>
      </c>
      <c r="D122" t="s">
        <v>475</v>
      </c>
      <c r="E122" t="s">
        <v>134</v>
      </c>
      <c r="F122" t="s">
        <v>22</v>
      </c>
      <c r="G122">
        <v>98012</v>
      </c>
      <c r="H122" s="1">
        <v>46057.14402777778</v>
      </c>
      <c r="I122" t="s">
        <v>29</v>
      </c>
      <c r="J122" t="s">
        <v>30</v>
      </c>
      <c r="K122" t="s">
        <v>476</v>
      </c>
      <c r="L122">
        <v>4</v>
      </c>
      <c r="M122">
        <v>3</v>
      </c>
      <c r="N122">
        <v>1598</v>
      </c>
      <c r="O122">
        <v>1994</v>
      </c>
      <c r="P122" t="s">
        <v>25</v>
      </c>
      <c r="Q122">
        <v>1018465207</v>
      </c>
      <c r="R122">
        <v>522096</v>
      </c>
    </row>
    <row r="123" spans="1:18" x14ac:dyDescent="0.2">
      <c r="A123" t="s">
        <v>477</v>
      </c>
      <c r="B123" t="str">
        <f>HYPERLINK("tel:2065276798", "2065276798")</f>
        <v>2065276798</v>
      </c>
      <c r="C123" t="s">
        <v>478</v>
      </c>
      <c r="D123" t="s">
        <v>479</v>
      </c>
      <c r="E123" t="s">
        <v>28</v>
      </c>
      <c r="F123" t="s">
        <v>22</v>
      </c>
      <c r="G123">
        <v>98115</v>
      </c>
      <c r="H123" s="1">
        <v>46057.14403935185</v>
      </c>
      <c r="I123" t="s">
        <v>29</v>
      </c>
      <c r="J123" t="s">
        <v>30</v>
      </c>
      <c r="K123" t="s">
        <v>480</v>
      </c>
      <c r="L123">
        <v>3</v>
      </c>
      <c r="M123">
        <v>2</v>
      </c>
      <c r="N123">
        <v>1850</v>
      </c>
      <c r="O123">
        <v>1946</v>
      </c>
      <c r="P123" t="s">
        <v>25</v>
      </c>
      <c r="Q123">
        <v>1018465215</v>
      </c>
      <c r="R123">
        <v>522094</v>
      </c>
    </row>
    <row r="124" spans="1:18" x14ac:dyDescent="0.2">
      <c r="A124" t="s">
        <v>481</v>
      </c>
      <c r="B124" t="str">
        <f>HYPERLINK("tel:3604719377", "3604719377")</f>
        <v>3604719377</v>
      </c>
      <c r="C124" t="s">
        <v>482</v>
      </c>
      <c r="D124" t="s">
        <v>483</v>
      </c>
      <c r="E124" t="s">
        <v>28</v>
      </c>
      <c r="F124" t="s">
        <v>22</v>
      </c>
      <c r="G124">
        <v>98168</v>
      </c>
      <c r="H124" s="1">
        <v>46057.14402777778</v>
      </c>
      <c r="I124" t="s">
        <v>29</v>
      </c>
      <c r="J124" t="s">
        <v>30</v>
      </c>
      <c r="K124" t="s">
        <v>484</v>
      </c>
      <c r="L124">
        <v>2</v>
      </c>
      <c r="M124">
        <v>1</v>
      </c>
      <c r="N124">
        <v>1600</v>
      </c>
      <c r="O124">
        <v>1938</v>
      </c>
      <c r="P124" t="s">
        <v>25</v>
      </c>
      <c r="Q124">
        <v>1018465213</v>
      </c>
      <c r="R124">
        <v>522095</v>
      </c>
    </row>
    <row r="125" spans="1:18" x14ac:dyDescent="0.2">
      <c r="A125" t="s">
        <v>485</v>
      </c>
      <c r="B125" t="str">
        <f>HYPERLINK("tel:5642131777", "5642131777")</f>
        <v>5642131777</v>
      </c>
      <c r="C125" t="s">
        <v>486</v>
      </c>
      <c r="D125" t="s">
        <v>487</v>
      </c>
      <c r="E125" t="s">
        <v>28</v>
      </c>
      <c r="F125" t="s">
        <v>22</v>
      </c>
      <c r="G125">
        <v>98115</v>
      </c>
      <c r="H125" s="1">
        <v>46057.14403935185</v>
      </c>
      <c r="I125" t="s">
        <v>29</v>
      </c>
      <c r="J125" t="s">
        <v>30</v>
      </c>
      <c r="K125" t="s">
        <v>488</v>
      </c>
      <c r="L125">
        <v>4</v>
      </c>
      <c r="M125">
        <v>1</v>
      </c>
      <c r="N125">
        <v>1990</v>
      </c>
      <c r="O125">
        <v>1927</v>
      </c>
      <c r="P125" t="s">
        <v>25</v>
      </c>
      <c r="Q125">
        <v>1018465218</v>
      </c>
      <c r="R125">
        <v>522093</v>
      </c>
    </row>
    <row r="126" spans="1:18" x14ac:dyDescent="0.2">
      <c r="A126" t="s">
        <v>489</v>
      </c>
      <c r="B126" t="str">
        <f>HYPERLINK("tel:3522776101", "3522776101")</f>
        <v>3522776101</v>
      </c>
      <c r="C126" t="s">
        <v>490</v>
      </c>
      <c r="D126" t="s">
        <v>491</v>
      </c>
      <c r="E126" t="s">
        <v>28</v>
      </c>
      <c r="F126" t="s">
        <v>22</v>
      </c>
      <c r="G126">
        <v>98125</v>
      </c>
      <c r="H126" s="1">
        <v>46057.14403935185</v>
      </c>
      <c r="I126" t="s">
        <v>29</v>
      </c>
      <c r="J126" t="s">
        <v>30</v>
      </c>
      <c r="K126" t="s">
        <v>492</v>
      </c>
      <c r="L126">
        <v>2</v>
      </c>
      <c r="M126">
        <v>2</v>
      </c>
      <c r="N126">
        <v>857</v>
      </c>
      <c r="O126">
        <v>2008</v>
      </c>
      <c r="P126" t="s">
        <v>25</v>
      </c>
      <c r="Q126">
        <v>1018465224</v>
      </c>
      <c r="R126">
        <v>522091</v>
      </c>
    </row>
    <row r="127" spans="1:18" x14ac:dyDescent="0.2">
      <c r="A127" t="s">
        <v>82</v>
      </c>
      <c r="B127" t="s">
        <v>25</v>
      </c>
      <c r="C127" t="s">
        <v>25</v>
      </c>
      <c r="D127" t="s">
        <v>493</v>
      </c>
      <c r="E127" t="s">
        <v>28</v>
      </c>
      <c r="F127" t="s">
        <v>22</v>
      </c>
      <c r="G127">
        <v>98117</v>
      </c>
      <c r="H127" s="1">
        <v>46057.14403935185</v>
      </c>
      <c r="I127" t="s">
        <v>29</v>
      </c>
      <c r="J127" t="s">
        <v>30</v>
      </c>
      <c r="K127" t="s">
        <v>494</v>
      </c>
      <c r="L127">
        <v>3</v>
      </c>
      <c r="M127">
        <v>1</v>
      </c>
      <c r="N127">
        <v>1600</v>
      </c>
      <c r="O127" t="s">
        <v>25</v>
      </c>
      <c r="P127" t="s">
        <v>25</v>
      </c>
      <c r="Q127">
        <v>1018465221</v>
      </c>
      <c r="R127">
        <v>522092</v>
      </c>
    </row>
    <row r="128" spans="1:18" x14ac:dyDescent="0.2">
      <c r="A128" t="s">
        <v>495</v>
      </c>
      <c r="B128" t="str">
        <f>HYPERLINK("tel:2063832299", "2063832299")</f>
        <v>2063832299</v>
      </c>
      <c r="C128" t="s">
        <v>25</v>
      </c>
      <c r="D128" t="s">
        <v>496</v>
      </c>
      <c r="E128" t="s">
        <v>28</v>
      </c>
      <c r="F128" t="s">
        <v>22</v>
      </c>
      <c r="G128">
        <v>98108</v>
      </c>
      <c r="H128" s="1">
        <v>46057.14403935185</v>
      </c>
      <c r="I128" t="s">
        <v>29</v>
      </c>
      <c r="J128" t="s">
        <v>30</v>
      </c>
      <c r="K128" t="s">
        <v>497</v>
      </c>
      <c r="L128">
        <v>2</v>
      </c>
      <c r="M128">
        <v>1</v>
      </c>
      <c r="N128">
        <v>750</v>
      </c>
      <c r="O128" t="s">
        <v>25</v>
      </c>
      <c r="P128" t="s">
        <v>25</v>
      </c>
      <c r="Q128">
        <v>1018465229</v>
      </c>
      <c r="R128">
        <v>522089</v>
      </c>
    </row>
    <row r="129" spans="1:18" x14ac:dyDescent="0.2">
      <c r="A129" t="s">
        <v>498</v>
      </c>
      <c r="B129" t="str">
        <f>HYPERLINK("tel:2063307376", "2063307376")</f>
        <v>2063307376</v>
      </c>
      <c r="C129" t="s">
        <v>499</v>
      </c>
      <c r="D129" t="s">
        <v>500</v>
      </c>
      <c r="E129" t="s">
        <v>28</v>
      </c>
      <c r="F129" t="s">
        <v>22</v>
      </c>
      <c r="G129">
        <v>98117</v>
      </c>
      <c r="H129" s="1">
        <v>46057.14403935185</v>
      </c>
      <c r="I129" t="s">
        <v>29</v>
      </c>
      <c r="J129" t="s">
        <v>30</v>
      </c>
      <c r="K129" t="s">
        <v>501</v>
      </c>
      <c r="L129">
        <v>3</v>
      </c>
      <c r="M129">
        <v>2</v>
      </c>
      <c r="N129">
        <v>1360</v>
      </c>
      <c r="O129">
        <v>1986</v>
      </c>
      <c r="P129" t="s">
        <v>25</v>
      </c>
      <c r="Q129">
        <v>1018465227</v>
      </c>
      <c r="R129">
        <v>522090</v>
      </c>
    </row>
    <row r="130" spans="1:18" x14ac:dyDescent="0.2">
      <c r="A130" t="s">
        <v>298</v>
      </c>
      <c r="B130" t="s">
        <v>25</v>
      </c>
      <c r="C130" t="s">
        <v>25</v>
      </c>
      <c r="D130" t="s">
        <v>502</v>
      </c>
      <c r="E130" t="s">
        <v>187</v>
      </c>
      <c r="F130" t="s">
        <v>22</v>
      </c>
      <c r="G130">
        <v>98058</v>
      </c>
      <c r="H130" s="1">
        <v>46057.166238425925</v>
      </c>
      <c r="I130" t="s">
        <v>229</v>
      </c>
      <c r="J130" t="s">
        <v>288</v>
      </c>
      <c r="K130" t="s">
        <v>503</v>
      </c>
      <c r="L130">
        <v>3</v>
      </c>
      <c r="M130" t="s">
        <v>25</v>
      </c>
      <c r="N130">
        <v>1340</v>
      </c>
      <c r="O130">
        <v>1973</v>
      </c>
      <c r="P130" t="s">
        <v>25</v>
      </c>
      <c r="Q130">
        <v>1018511615</v>
      </c>
      <c r="R130">
        <v>522087</v>
      </c>
    </row>
    <row r="131" spans="1:18" x14ac:dyDescent="0.2">
      <c r="A131" t="s">
        <v>504</v>
      </c>
      <c r="B131" t="str">
        <f>HYPERLINK("tel:6506237455", "6506237455")</f>
        <v>6506237455</v>
      </c>
      <c r="C131" t="s">
        <v>505</v>
      </c>
      <c r="D131" t="s">
        <v>506</v>
      </c>
      <c r="E131" t="s">
        <v>28</v>
      </c>
      <c r="F131" t="s">
        <v>22</v>
      </c>
      <c r="G131">
        <v>98121</v>
      </c>
      <c r="H131" s="1">
        <v>46057.14403935185</v>
      </c>
      <c r="I131" t="s">
        <v>29</v>
      </c>
      <c r="J131" t="s">
        <v>30</v>
      </c>
      <c r="K131" t="s">
        <v>507</v>
      </c>
      <c r="L131">
        <v>2</v>
      </c>
      <c r="M131">
        <v>2</v>
      </c>
      <c r="N131">
        <v>940</v>
      </c>
      <c r="O131">
        <v>2015</v>
      </c>
      <c r="P131" t="s">
        <v>25</v>
      </c>
      <c r="Q131">
        <v>1018465231</v>
      </c>
      <c r="R131">
        <v>522088</v>
      </c>
    </row>
    <row r="132" spans="1:18" x14ac:dyDescent="0.2">
      <c r="A132" t="s">
        <v>508</v>
      </c>
      <c r="B132" t="str">
        <f>HYPERLINK("tel:2064022842", "2064022842")</f>
        <v>2064022842</v>
      </c>
      <c r="C132" t="s">
        <v>509</v>
      </c>
      <c r="D132" t="s">
        <v>510</v>
      </c>
      <c r="E132" t="s">
        <v>511</v>
      </c>
      <c r="F132" t="s">
        <v>22</v>
      </c>
      <c r="G132">
        <v>98801</v>
      </c>
      <c r="H132" s="1">
        <v>46057.166238425925</v>
      </c>
      <c r="I132" t="s">
        <v>229</v>
      </c>
      <c r="J132" t="s">
        <v>230</v>
      </c>
      <c r="K132" t="s">
        <v>512</v>
      </c>
      <c r="L132">
        <v>5</v>
      </c>
      <c r="M132">
        <v>2</v>
      </c>
      <c r="N132">
        <v>3524</v>
      </c>
      <c r="O132">
        <v>1977</v>
      </c>
      <c r="P132" t="s">
        <v>25</v>
      </c>
      <c r="Q132">
        <v>1018511635</v>
      </c>
      <c r="R132">
        <v>522086</v>
      </c>
    </row>
    <row r="133" spans="1:18" x14ac:dyDescent="0.2">
      <c r="A133" t="s">
        <v>513</v>
      </c>
      <c r="B133" t="str">
        <f>HYPERLINK("tel:3602500791", "3602500791")</f>
        <v>3602500791</v>
      </c>
      <c r="C133" t="s">
        <v>514</v>
      </c>
      <c r="D133" t="s">
        <v>515</v>
      </c>
      <c r="E133" t="s">
        <v>80</v>
      </c>
      <c r="F133" t="s">
        <v>22</v>
      </c>
      <c r="G133">
        <v>98516</v>
      </c>
      <c r="H133" s="1">
        <v>46057.166238425925</v>
      </c>
      <c r="I133" t="s">
        <v>229</v>
      </c>
      <c r="J133" t="s">
        <v>230</v>
      </c>
      <c r="K133" t="s">
        <v>516</v>
      </c>
      <c r="L133">
        <v>2</v>
      </c>
      <c r="M133">
        <v>0</v>
      </c>
      <c r="N133">
        <v>1344</v>
      </c>
      <c r="O133">
        <v>1979</v>
      </c>
      <c r="P133" t="s">
        <v>25</v>
      </c>
      <c r="Q133">
        <v>1018511680</v>
      </c>
      <c r="R133">
        <v>522084</v>
      </c>
    </row>
    <row r="134" spans="1:18" x14ac:dyDescent="0.2">
      <c r="A134" t="s">
        <v>517</v>
      </c>
      <c r="B134" t="str">
        <f>HYPERLINK("tel:3602986744", "3602986744")</f>
        <v>3602986744</v>
      </c>
      <c r="C134" t="s">
        <v>518</v>
      </c>
      <c r="D134" t="s">
        <v>519</v>
      </c>
      <c r="E134" t="s">
        <v>239</v>
      </c>
      <c r="F134" t="s">
        <v>22</v>
      </c>
      <c r="G134">
        <v>98221</v>
      </c>
      <c r="H134" s="1">
        <v>46057.166238425925</v>
      </c>
      <c r="I134" t="s">
        <v>229</v>
      </c>
      <c r="J134" t="s">
        <v>230</v>
      </c>
      <c r="K134" t="s">
        <v>520</v>
      </c>
      <c r="L134">
        <v>2</v>
      </c>
      <c r="M134">
        <v>2</v>
      </c>
      <c r="N134">
        <v>2303</v>
      </c>
      <c r="O134">
        <v>1920</v>
      </c>
      <c r="P134" t="s">
        <v>25</v>
      </c>
      <c r="Q134">
        <v>1018511661</v>
      </c>
      <c r="R134">
        <v>522085</v>
      </c>
    </row>
    <row r="135" spans="1:18" x14ac:dyDescent="0.2">
      <c r="A135" t="s">
        <v>521</v>
      </c>
      <c r="B135" t="str">
        <f>HYPERLINK("tel:4258793748", "4258793748")</f>
        <v>4258793748</v>
      </c>
      <c r="C135" t="s">
        <v>522</v>
      </c>
      <c r="D135" t="s">
        <v>523</v>
      </c>
      <c r="E135" t="s">
        <v>524</v>
      </c>
      <c r="F135" t="s">
        <v>22</v>
      </c>
      <c r="G135">
        <v>98275</v>
      </c>
      <c r="H135" s="1">
        <v>46057.166250000002</v>
      </c>
      <c r="I135" t="s">
        <v>229</v>
      </c>
      <c r="J135" t="s">
        <v>230</v>
      </c>
      <c r="K135" t="s">
        <v>525</v>
      </c>
      <c r="L135">
        <v>3</v>
      </c>
      <c r="M135">
        <v>2</v>
      </c>
      <c r="N135">
        <v>2060</v>
      </c>
      <c r="O135">
        <v>1987</v>
      </c>
      <c r="P135" t="s">
        <v>25</v>
      </c>
      <c r="Q135">
        <v>1018511881</v>
      </c>
      <c r="R135">
        <v>522083</v>
      </c>
    </row>
    <row r="136" spans="1:18" x14ac:dyDescent="0.2">
      <c r="A136" t="s">
        <v>526</v>
      </c>
      <c r="B136" t="str">
        <f>HYPERLINK("tel:4257538509", "4257538509")</f>
        <v>4257538509</v>
      </c>
      <c r="C136" t="s">
        <v>25</v>
      </c>
      <c r="D136" t="s">
        <v>527</v>
      </c>
      <c r="E136" t="s">
        <v>511</v>
      </c>
      <c r="F136" t="s">
        <v>22</v>
      </c>
      <c r="G136">
        <v>98801</v>
      </c>
      <c r="H136" s="1">
        <v>46057.166250000002</v>
      </c>
      <c r="I136" t="s">
        <v>229</v>
      </c>
      <c r="J136" t="s">
        <v>230</v>
      </c>
      <c r="K136" t="s">
        <v>528</v>
      </c>
      <c r="L136" t="s">
        <v>25</v>
      </c>
      <c r="M136" t="s">
        <v>25</v>
      </c>
      <c r="N136">
        <v>0</v>
      </c>
      <c r="O136" t="s">
        <v>25</v>
      </c>
      <c r="P136" t="s">
        <v>25</v>
      </c>
      <c r="Q136">
        <v>1018511906</v>
      </c>
      <c r="R136">
        <v>522082</v>
      </c>
    </row>
    <row r="137" spans="1:18" x14ac:dyDescent="0.2">
      <c r="A137" t="s">
        <v>529</v>
      </c>
      <c r="B137" t="str">
        <f>HYPERLINK("tel:3605175527", "3605175527")</f>
        <v>3605175527</v>
      </c>
      <c r="C137" t="s">
        <v>530</v>
      </c>
      <c r="D137" t="s">
        <v>531</v>
      </c>
      <c r="E137" t="s">
        <v>228</v>
      </c>
      <c r="F137" t="s">
        <v>22</v>
      </c>
      <c r="G137">
        <v>98370</v>
      </c>
      <c r="H137" s="1">
        <v>46057.166250000002</v>
      </c>
      <c r="I137" t="s">
        <v>229</v>
      </c>
      <c r="J137" t="s">
        <v>230</v>
      </c>
      <c r="K137" t="s">
        <v>532</v>
      </c>
      <c r="L137">
        <v>3</v>
      </c>
      <c r="M137">
        <v>1</v>
      </c>
      <c r="N137">
        <v>1888</v>
      </c>
      <c r="O137">
        <v>1984</v>
      </c>
      <c r="P137" t="s">
        <v>25</v>
      </c>
      <c r="Q137">
        <v>1018511944</v>
      </c>
      <c r="R137">
        <v>522080</v>
      </c>
    </row>
    <row r="138" spans="1:18" x14ac:dyDescent="0.2">
      <c r="A138" t="s">
        <v>533</v>
      </c>
      <c r="B138" t="s">
        <v>25</v>
      </c>
      <c r="C138" t="s">
        <v>534</v>
      </c>
      <c r="D138" t="s">
        <v>535</v>
      </c>
      <c r="E138" t="s">
        <v>106</v>
      </c>
      <c r="F138" t="s">
        <v>22</v>
      </c>
      <c r="G138">
        <v>98004</v>
      </c>
      <c r="H138" s="1">
        <v>46057.166250000002</v>
      </c>
      <c r="I138" t="s">
        <v>229</v>
      </c>
      <c r="J138" t="s">
        <v>288</v>
      </c>
      <c r="K138" t="s">
        <v>536</v>
      </c>
      <c r="L138">
        <v>6</v>
      </c>
      <c r="M138">
        <v>2</v>
      </c>
      <c r="N138">
        <v>6330</v>
      </c>
      <c r="O138">
        <v>2025</v>
      </c>
      <c r="P138" t="s">
        <v>25</v>
      </c>
      <c r="Q138">
        <v>1018511925</v>
      </c>
      <c r="R138">
        <v>522081</v>
      </c>
    </row>
    <row r="139" spans="1:18" x14ac:dyDescent="0.2">
      <c r="A139" t="s">
        <v>537</v>
      </c>
      <c r="B139" t="str">
        <f>HYPERLINK("tel:3606724801", "3606724801")</f>
        <v>3606724801</v>
      </c>
      <c r="C139" t="s">
        <v>538</v>
      </c>
      <c r="D139" t="s">
        <v>539</v>
      </c>
      <c r="E139" t="s">
        <v>88</v>
      </c>
      <c r="F139" t="s">
        <v>22</v>
      </c>
      <c r="G139">
        <v>98277</v>
      </c>
      <c r="H139" s="1">
        <v>46057.166250000002</v>
      </c>
      <c r="I139" t="s">
        <v>229</v>
      </c>
      <c r="J139" t="s">
        <v>230</v>
      </c>
      <c r="K139" t="s">
        <v>540</v>
      </c>
      <c r="L139">
        <v>3</v>
      </c>
      <c r="M139">
        <v>1</v>
      </c>
      <c r="N139">
        <v>1439</v>
      </c>
      <c r="O139">
        <v>2001</v>
      </c>
      <c r="P139" t="s">
        <v>25</v>
      </c>
      <c r="Q139">
        <v>1018512024</v>
      </c>
      <c r="R139">
        <v>522079</v>
      </c>
    </row>
    <row r="140" spans="1:18" x14ac:dyDescent="0.2">
      <c r="A140" t="s">
        <v>241</v>
      </c>
      <c r="B140" t="s">
        <v>25</v>
      </c>
      <c r="C140" t="s">
        <v>25</v>
      </c>
      <c r="D140" t="s">
        <v>541</v>
      </c>
      <c r="E140" t="s">
        <v>318</v>
      </c>
      <c r="F140" t="s">
        <v>22</v>
      </c>
      <c r="G140">
        <v>98072</v>
      </c>
      <c r="H140" s="1">
        <v>46057.166261574072</v>
      </c>
      <c r="I140" t="s">
        <v>229</v>
      </c>
      <c r="J140" t="s">
        <v>288</v>
      </c>
      <c r="K140" t="s">
        <v>542</v>
      </c>
      <c r="L140">
        <v>5</v>
      </c>
      <c r="M140">
        <v>3</v>
      </c>
      <c r="N140">
        <v>4462</v>
      </c>
      <c r="O140">
        <v>2026</v>
      </c>
      <c r="P140" t="s">
        <v>25</v>
      </c>
      <c r="Q140">
        <v>1018512108</v>
      </c>
      <c r="R140">
        <v>522078</v>
      </c>
    </row>
    <row r="141" spans="1:18" x14ac:dyDescent="0.2">
      <c r="A141" t="s">
        <v>543</v>
      </c>
      <c r="B141" t="str">
        <f>HYPERLINK("tel:2532218100", "2532218100")</f>
        <v>2532218100</v>
      </c>
      <c r="C141" t="s">
        <v>25</v>
      </c>
      <c r="D141" t="s">
        <v>544</v>
      </c>
      <c r="E141" t="s">
        <v>39</v>
      </c>
      <c r="F141" t="s">
        <v>22</v>
      </c>
      <c r="G141">
        <v>98405</v>
      </c>
      <c r="H141" s="1">
        <v>46057.166261574072</v>
      </c>
      <c r="I141" t="s">
        <v>229</v>
      </c>
      <c r="J141" t="s">
        <v>230</v>
      </c>
      <c r="K141" t="s">
        <v>545</v>
      </c>
      <c r="L141">
        <v>5</v>
      </c>
      <c r="M141">
        <v>2</v>
      </c>
      <c r="N141">
        <v>1365</v>
      </c>
      <c r="O141">
        <v>1978</v>
      </c>
      <c r="P141" t="s">
        <v>25</v>
      </c>
      <c r="Q141">
        <v>1018512118</v>
      </c>
      <c r="R141">
        <v>522077</v>
      </c>
    </row>
    <row r="142" spans="1:18" x14ac:dyDescent="0.2">
      <c r="A142" t="s">
        <v>241</v>
      </c>
      <c r="B142" t="s">
        <v>25</v>
      </c>
      <c r="C142" t="s">
        <v>25</v>
      </c>
      <c r="D142" t="s">
        <v>546</v>
      </c>
      <c r="E142" t="s">
        <v>547</v>
      </c>
      <c r="F142" t="s">
        <v>22</v>
      </c>
      <c r="G142">
        <v>98034</v>
      </c>
      <c r="H142" s="1">
        <v>46057.166261574072</v>
      </c>
      <c r="I142" t="s">
        <v>229</v>
      </c>
      <c r="J142" t="s">
        <v>288</v>
      </c>
      <c r="K142" t="s">
        <v>548</v>
      </c>
      <c r="L142">
        <v>3</v>
      </c>
      <c r="M142">
        <v>2</v>
      </c>
      <c r="N142">
        <v>1793</v>
      </c>
      <c r="O142">
        <v>2023</v>
      </c>
      <c r="P142" t="s">
        <v>25</v>
      </c>
      <c r="Q142">
        <v>1018512137</v>
      </c>
      <c r="R142">
        <v>522076</v>
      </c>
    </row>
    <row r="143" spans="1:18" x14ac:dyDescent="0.2">
      <c r="A143" t="s">
        <v>241</v>
      </c>
      <c r="B143" t="s">
        <v>25</v>
      </c>
      <c r="C143" t="s">
        <v>25</v>
      </c>
      <c r="D143" t="s">
        <v>549</v>
      </c>
      <c r="E143" t="s">
        <v>28</v>
      </c>
      <c r="F143" t="s">
        <v>22</v>
      </c>
      <c r="G143">
        <v>98146</v>
      </c>
      <c r="H143" s="1">
        <v>46057.166261574072</v>
      </c>
      <c r="I143" t="s">
        <v>229</v>
      </c>
      <c r="J143" t="s">
        <v>288</v>
      </c>
      <c r="K143" t="s">
        <v>550</v>
      </c>
      <c r="L143" t="s">
        <v>25</v>
      </c>
      <c r="M143" t="s">
        <v>25</v>
      </c>
      <c r="N143">
        <v>3800</v>
      </c>
      <c r="O143">
        <v>1969</v>
      </c>
      <c r="P143" t="s">
        <v>25</v>
      </c>
      <c r="Q143">
        <v>1018512153</v>
      </c>
      <c r="R143">
        <v>522075</v>
      </c>
    </row>
    <row r="144" spans="1:18" x14ac:dyDescent="0.2">
      <c r="A144" t="s">
        <v>551</v>
      </c>
      <c r="B144" t="str">
        <f>HYPERLINK("tel:4255329165", "4255329165")</f>
        <v>4255329165</v>
      </c>
      <c r="C144" t="s">
        <v>25</v>
      </c>
      <c r="D144" t="s">
        <v>552</v>
      </c>
      <c r="E144" t="s">
        <v>332</v>
      </c>
      <c r="F144" t="s">
        <v>22</v>
      </c>
      <c r="G144">
        <v>98056</v>
      </c>
      <c r="H144" s="1">
        <v>46057.166261574072</v>
      </c>
      <c r="I144" t="s">
        <v>229</v>
      </c>
      <c r="J144" t="s">
        <v>230</v>
      </c>
      <c r="K144" t="s">
        <v>553</v>
      </c>
      <c r="L144">
        <v>6</v>
      </c>
      <c r="M144">
        <v>3</v>
      </c>
      <c r="N144">
        <v>3240</v>
      </c>
      <c r="O144">
        <v>2017</v>
      </c>
      <c r="P144" t="s">
        <v>25</v>
      </c>
      <c r="Q144">
        <v>1018512162</v>
      </c>
      <c r="R144">
        <v>522074</v>
      </c>
    </row>
    <row r="145" spans="1:18" x14ac:dyDescent="0.2">
      <c r="A145" t="s">
        <v>298</v>
      </c>
      <c r="B145" t="s">
        <v>25</v>
      </c>
      <c r="C145" t="s">
        <v>25</v>
      </c>
      <c r="D145" t="s">
        <v>554</v>
      </c>
      <c r="E145" t="s">
        <v>106</v>
      </c>
      <c r="F145" t="s">
        <v>22</v>
      </c>
      <c r="G145">
        <v>98005</v>
      </c>
      <c r="H145" s="1">
        <v>46057.166261574072</v>
      </c>
      <c r="I145" t="s">
        <v>229</v>
      </c>
      <c r="J145" t="s">
        <v>288</v>
      </c>
      <c r="K145" t="s">
        <v>555</v>
      </c>
      <c r="L145" t="s">
        <v>25</v>
      </c>
      <c r="M145" t="s">
        <v>25</v>
      </c>
      <c r="N145">
        <v>0</v>
      </c>
      <c r="O145" t="s">
        <v>25</v>
      </c>
      <c r="P145" t="s">
        <v>25</v>
      </c>
      <c r="Q145">
        <v>1018512186</v>
      </c>
      <c r="R145">
        <v>522073</v>
      </c>
    </row>
    <row r="146" spans="1:18" x14ac:dyDescent="0.2">
      <c r="A146" t="s">
        <v>556</v>
      </c>
      <c r="B146" t="str">
        <f>HYPERLINK("tel:3607333382", "3607333382")</f>
        <v>3607333382</v>
      </c>
      <c r="C146" t="s">
        <v>25</v>
      </c>
      <c r="D146" t="s">
        <v>557</v>
      </c>
      <c r="E146" t="s">
        <v>558</v>
      </c>
      <c r="F146" t="s">
        <v>22</v>
      </c>
      <c r="G146">
        <v>98563</v>
      </c>
      <c r="H146" s="1">
        <v>46057.166261574072</v>
      </c>
      <c r="I146" t="s">
        <v>229</v>
      </c>
      <c r="J146" t="s">
        <v>230</v>
      </c>
      <c r="K146" t="s">
        <v>559</v>
      </c>
      <c r="L146">
        <v>3</v>
      </c>
      <c r="M146">
        <v>1</v>
      </c>
      <c r="N146">
        <v>1264</v>
      </c>
      <c r="O146">
        <v>1916</v>
      </c>
      <c r="P146" t="s">
        <v>25</v>
      </c>
      <c r="Q146">
        <v>1018512221</v>
      </c>
      <c r="R146">
        <v>522072</v>
      </c>
    </row>
    <row r="147" spans="1:18" x14ac:dyDescent="0.2">
      <c r="A147" t="s">
        <v>241</v>
      </c>
      <c r="B147" t="s">
        <v>25</v>
      </c>
      <c r="C147" t="s">
        <v>25</v>
      </c>
      <c r="D147" t="s">
        <v>560</v>
      </c>
      <c r="E147" t="s">
        <v>28</v>
      </c>
      <c r="F147" t="s">
        <v>22</v>
      </c>
      <c r="G147">
        <v>98107</v>
      </c>
      <c r="H147" s="1">
        <v>46057.166273148148</v>
      </c>
      <c r="I147" t="s">
        <v>229</v>
      </c>
      <c r="J147" t="s">
        <v>288</v>
      </c>
      <c r="K147" t="s">
        <v>561</v>
      </c>
      <c r="L147">
        <v>3</v>
      </c>
      <c r="M147">
        <v>1</v>
      </c>
      <c r="N147">
        <v>1284</v>
      </c>
      <c r="O147">
        <v>2025</v>
      </c>
      <c r="P147" t="s">
        <v>25</v>
      </c>
      <c r="Q147">
        <v>1018512253</v>
      </c>
      <c r="R147">
        <v>522070</v>
      </c>
    </row>
    <row r="148" spans="1:18" x14ac:dyDescent="0.2">
      <c r="A148" t="s">
        <v>562</v>
      </c>
      <c r="B148" t="str">
        <f>HYPERLINK("tel:9092610026", "9092610026")</f>
        <v>9092610026</v>
      </c>
      <c r="C148" t="s">
        <v>563</v>
      </c>
      <c r="D148" t="s">
        <v>564</v>
      </c>
      <c r="E148" t="s">
        <v>134</v>
      </c>
      <c r="F148" t="s">
        <v>22</v>
      </c>
      <c r="G148">
        <v>98012</v>
      </c>
      <c r="H148" s="1">
        <v>46057.166273148148</v>
      </c>
      <c r="I148" t="s">
        <v>229</v>
      </c>
      <c r="J148" t="s">
        <v>230</v>
      </c>
      <c r="K148" t="s">
        <v>565</v>
      </c>
      <c r="L148">
        <v>4</v>
      </c>
      <c r="M148">
        <v>3</v>
      </c>
      <c r="N148">
        <v>2631</v>
      </c>
      <c r="O148">
        <v>2016</v>
      </c>
      <c r="P148" t="s">
        <v>25</v>
      </c>
      <c r="Q148">
        <v>1018512242</v>
      </c>
      <c r="R148">
        <v>522071</v>
      </c>
    </row>
    <row r="149" spans="1:18" x14ac:dyDescent="0.2">
      <c r="A149" t="s">
        <v>241</v>
      </c>
      <c r="B149" t="s">
        <v>25</v>
      </c>
      <c r="C149" t="s">
        <v>25</v>
      </c>
      <c r="D149" t="s">
        <v>566</v>
      </c>
      <c r="E149" t="s">
        <v>259</v>
      </c>
      <c r="F149" t="s">
        <v>22</v>
      </c>
      <c r="G149">
        <v>98258</v>
      </c>
      <c r="H149" s="1">
        <v>46057.166273148148</v>
      </c>
      <c r="I149" t="s">
        <v>229</v>
      </c>
      <c r="J149" t="s">
        <v>288</v>
      </c>
      <c r="K149" t="s">
        <v>567</v>
      </c>
      <c r="L149" t="s">
        <v>25</v>
      </c>
      <c r="M149" t="s">
        <v>25</v>
      </c>
      <c r="N149">
        <v>3314</v>
      </c>
      <c r="O149">
        <v>2025</v>
      </c>
      <c r="P149" t="s">
        <v>25</v>
      </c>
      <c r="Q149">
        <v>1018512267</v>
      </c>
      <c r="R149">
        <v>522068</v>
      </c>
    </row>
    <row r="150" spans="1:18" x14ac:dyDescent="0.2">
      <c r="A150" t="s">
        <v>568</v>
      </c>
      <c r="B150" t="str">
        <f>HYPERLINK("tel:4252098945", "4252098945")</f>
        <v>4252098945</v>
      </c>
      <c r="C150" t="s">
        <v>569</v>
      </c>
      <c r="D150" t="s">
        <v>570</v>
      </c>
      <c r="E150" t="s">
        <v>571</v>
      </c>
      <c r="F150" t="s">
        <v>22</v>
      </c>
      <c r="G150">
        <v>98004</v>
      </c>
      <c r="H150" s="1">
        <v>46057.166273148148</v>
      </c>
      <c r="I150" t="s">
        <v>229</v>
      </c>
      <c r="J150" t="s">
        <v>230</v>
      </c>
      <c r="K150" t="s">
        <v>572</v>
      </c>
      <c r="L150">
        <v>5</v>
      </c>
      <c r="M150">
        <v>2</v>
      </c>
      <c r="N150">
        <v>4480</v>
      </c>
      <c r="O150">
        <v>1958</v>
      </c>
      <c r="P150" t="s">
        <v>25</v>
      </c>
      <c r="Q150">
        <v>1018512260</v>
      </c>
      <c r="R150">
        <v>522069</v>
      </c>
    </row>
    <row r="151" spans="1:18" x14ac:dyDescent="0.2">
      <c r="A151" t="s">
        <v>573</v>
      </c>
      <c r="B151" t="str">
        <f>HYPERLINK("tel:8144908669", "8144908669")</f>
        <v>8144908669</v>
      </c>
      <c r="C151" t="s">
        <v>574</v>
      </c>
      <c r="D151" t="s">
        <v>575</v>
      </c>
      <c r="E151" t="s">
        <v>28</v>
      </c>
      <c r="F151" t="s">
        <v>22</v>
      </c>
      <c r="G151">
        <v>98144</v>
      </c>
      <c r="H151" s="1">
        <v>46057.166273148148</v>
      </c>
      <c r="I151" t="s">
        <v>287</v>
      </c>
      <c r="J151" t="s">
        <v>230</v>
      </c>
      <c r="K151" t="s">
        <v>576</v>
      </c>
      <c r="L151">
        <v>3</v>
      </c>
      <c r="M151">
        <v>1</v>
      </c>
      <c r="N151">
        <v>1423</v>
      </c>
      <c r="O151">
        <v>2019</v>
      </c>
      <c r="P151" t="s">
        <v>25</v>
      </c>
      <c r="Q151">
        <v>1018512290</v>
      </c>
      <c r="R151">
        <v>522067</v>
      </c>
    </row>
    <row r="152" spans="1:18" x14ac:dyDescent="0.2">
      <c r="A152" t="s">
        <v>298</v>
      </c>
      <c r="B152" t="s">
        <v>25</v>
      </c>
      <c r="C152" t="s">
        <v>25</v>
      </c>
      <c r="D152" t="s">
        <v>577</v>
      </c>
      <c r="E152" t="s">
        <v>28</v>
      </c>
      <c r="F152" t="s">
        <v>22</v>
      </c>
      <c r="G152">
        <v>98117</v>
      </c>
      <c r="H152" s="1">
        <v>46057.166273148148</v>
      </c>
      <c r="I152" t="s">
        <v>287</v>
      </c>
      <c r="J152" t="s">
        <v>288</v>
      </c>
      <c r="K152" t="s">
        <v>578</v>
      </c>
      <c r="L152">
        <v>3</v>
      </c>
      <c r="M152">
        <v>1</v>
      </c>
      <c r="N152">
        <v>1088</v>
      </c>
      <c r="O152">
        <v>2025</v>
      </c>
      <c r="P152" t="s">
        <v>25</v>
      </c>
      <c r="Q152">
        <v>1018512312</v>
      </c>
      <c r="R152">
        <v>522066</v>
      </c>
    </row>
    <row r="153" spans="1:18" x14ac:dyDescent="0.2">
      <c r="A153" t="s">
        <v>579</v>
      </c>
      <c r="B153" t="str">
        <f>HYPERLINK("tel:4257889758", "4257889758")</f>
        <v>4257889758</v>
      </c>
      <c r="C153" t="s">
        <v>25</v>
      </c>
      <c r="D153" t="s">
        <v>580</v>
      </c>
      <c r="E153" t="s">
        <v>581</v>
      </c>
      <c r="F153" t="s">
        <v>22</v>
      </c>
      <c r="G153">
        <v>98292</v>
      </c>
      <c r="H153" s="1">
        <v>46057.166273148148</v>
      </c>
      <c r="I153" t="s">
        <v>287</v>
      </c>
      <c r="J153" t="s">
        <v>230</v>
      </c>
      <c r="K153" t="s">
        <v>582</v>
      </c>
      <c r="L153">
        <v>4</v>
      </c>
      <c r="M153">
        <v>5</v>
      </c>
      <c r="N153">
        <v>3787</v>
      </c>
      <c r="O153">
        <v>2001</v>
      </c>
      <c r="P153" t="s">
        <v>25</v>
      </c>
      <c r="Q153">
        <v>1018512324</v>
      </c>
      <c r="R153">
        <v>522065</v>
      </c>
    </row>
    <row r="154" spans="1:18" x14ac:dyDescent="0.2">
      <c r="A154" t="s">
        <v>298</v>
      </c>
      <c r="B154" t="s">
        <v>25</v>
      </c>
      <c r="C154" t="s">
        <v>25</v>
      </c>
      <c r="D154" t="s">
        <v>583</v>
      </c>
      <c r="E154" t="s">
        <v>584</v>
      </c>
      <c r="F154" t="s">
        <v>22</v>
      </c>
      <c r="G154">
        <v>98230</v>
      </c>
      <c r="H154" s="1">
        <v>46057.166284722225</v>
      </c>
      <c r="I154" t="s">
        <v>287</v>
      </c>
      <c r="J154" t="s">
        <v>288</v>
      </c>
      <c r="K154" t="s">
        <v>585</v>
      </c>
      <c r="L154">
        <v>4</v>
      </c>
      <c r="M154">
        <v>1</v>
      </c>
      <c r="N154">
        <v>2064</v>
      </c>
      <c r="O154">
        <v>2026</v>
      </c>
      <c r="P154" t="s">
        <v>25</v>
      </c>
      <c r="Q154">
        <v>1018512329</v>
      </c>
      <c r="R154">
        <v>522064</v>
      </c>
    </row>
    <row r="155" spans="1:18" x14ac:dyDescent="0.2">
      <c r="A155" t="s">
        <v>298</v>
      </c>
      <c r="B155" t="s">
        <v>25</v>
      </c>
      <c r="C155" t="s">
        <v>25</v>
      </c>
      <c r="D155" t="s">
        <v>586</v>
      </c>
      <c r="E155" t="s">
        <v>584</v>
      </c>
      <c r="F155" t="s">
        <v>22</v>
      </c>
      <c r="G155">
        <v>98230</v>
      </c>
      <c r="H155" s="1">
        <v>46057.166284722225</v>
      </c>
      <c r="I155" t="s">
        <v>287</v>
      </c>
      <c r="J155" t="s">
        <v>288</v>
      </c>
      <c r="K155" t="s">
        <v>587</v>
      </c>
      <c r="L155">
        <v>4</v>
      </c>
      <c r="M155">
        <v>1</v>
      </c>
      <c r="N155">
        <v>2064</v>
      </c>
      <c r="O155">
        <v>2025</v>
      </c>
      <c r="P155" t="s">
        <v>25</v>
      </c>
      <c r="Q155">
        <v>1018512332</v>
      </c>
      <c r="R155">
        <v>522063</v>
      </c>
    </row>
    <row r="156" spans="1:18" x14ac:dyDescent="0.2">
      <c r="A156" t="s">
        <v>298</v>
      </c>
      <c r="B156" t="s">
        <v>25</v>
      </c>
      <c r="C156" t="s">
        <v>25</v>
      </c>
      <c r="D156" t="s">
        <v>588</v>
      </c>
      <c r="E156" t="s">
        <v>584</v>
      </c>
      <c r="F156" t="s">
        <v>22</v>
      </c>
      <c r="G156">
        <v>98230</v>
      </c>
      <c r="H156" s="1">
        <v>46057.166284722225</v>
      </c>
      <c r="I156" t="s">
        <v>287</v>
      </c>
      <c r="J156" t="s">
        <v>288</v>
      </c>
      <c r="K156" t="s">
        <v>589</v>
      </c>
      <c r="L156">
        <v>4</v>
      </c>
      <c r="M156">
        <v>1</v>
      </c>
      <c r="N156">
        <v>2064</v>
      </c>
      <c r="O156">
        <v>2025</v>
      </c>
      <c r="P156" t="s">
        <v>25</v>
      </c>
      <c r="Q156">
        <v>1018512338</v>
      </c>
      <c r="R156">
        <v>522061</v>
      </c>
    </row>
    <row r="157" spans="1:18" x14ac:dyDescent="0.2">
      <c r="A157" t="s">
        <v>298</v>
      </c>
      <c r="B157" t="s">
        <v>25</v>
      </c>
      <c r="C157" t="s">
        <v>25</v>
      </c>
      <c r="D157" t="s">
        <v>590</v>
      </c>
      <c r="E157" t="s">
        <v>584</v>
      </c>
      <c r="F157" t="s">
        <v>22</v>
      </c>
      <c r="G157">
        <v>98230</v>
      </c>
      <c r="H157" s="1">
        <v>46057.166284722225</v>
      </c>
      <c r="I157" t="s">
        <v>287</v>
      </c>
      <c r="J157" t="s">
        <v>288</v>
      </c>
      <c r="K157" t="s">
        <v>587</v>
      </c>
      <c r="L157">
        <v>4</v>
      </c>
      <c r="M157">
        <v>1</v>
      </c>
      <c r="N157">
        <v>2064</v>
      </c>
      <c r="O157">
        <v>2025</v>
      </c>
      <c r="P157" t="s">
        <v>25</v>
      </c>
      <c r="Q157">
        <v>1018512335</v>
      </c>
      <c r="R157">
        <v>522062</v>
      </c>
    </row>
    <row r="158" spans="1:18" x14ac:dyDescent="0.2">
      <c r="A158" t="s">
        <v>298</v>
      </c>
      <c r="B158" t="s">
        <v>25</v>
      </c>
      <c r="C158" t="s">
        <v>25</v>
      </c>
      <c r="D158" t="s">
        <v>591</v>
      </c>
      <c r="E158" t="s">
        <v>584</v>
      </c>
      <c r="F158" t="s">
        <v>22</v>
      </c>
      <c r="G158">
        <v>98230</v>
      </c>
      <c r="H158" s="1">
        <v>46057.166284722225</v>
      </c>
      <c r="I158" t="s">
        <v>287</v>
      </c>
      <c r="J158" t="s">
        <v>288</v>
      </c>
      <c r="K158" t="s">
        <v>592</v>
      </c>
      <c r="L158">
        <v>4</v>
      </c>
      <c r="M158">
        <v>1</v>
      </c>
      <c r="N158">
        <v>2154</v>
      </c>
      <c r="O158">
        <v>2026</v>
      </c>
      <c r="P158" t="s">
        <v>25</v>
      </c>
      <c r="Q158">
        <v>1018512342</v>
      </c>
      <c r="R158">
        <v>522059</v>
      </c>
    </row>
    <row r="159" spans="1:18" x14ac:dyDescent="0.2">
      <c r="A159" t="s">
        <v>298</v>
      </c>
      <c r="B159" t="s">
        <v>25</v>
      </c>
      <c r="C159" t="s">
        <v>25</v>
      </c>
      <c r="D159" t="s">
        <v>593</v>
      </c>
      <c r="E159" t="s">
        <v>584</v>
      </c>
      <c r="F159" t="s">
        <v>22</v>
      </c>
      <c r="G159">
        <v>98230</v>
      </c>
      <c r="H159" s="1">
        <v>46057.166284722225</v>
      </c>
      <c r="I159" t="s">
        <v>287</v>
      </c>
      <c r="J159" t="s">
        <v>288</v>
      </c>
      <c r="K159" t="s">
        <v>594</v>
      </c>
      <c r="L159">
        <v>4</v>
      </c>
      <c r="M159">
        <v>1</v>
      </c>
      <c r="N159">
        <v>2154</v>
      </c>
      <c r="O159">
        <v>2026</v>
      </c>
      <c r="P159" t="s">
        <v>25</v>
      </c>
      <c r="Q159">
        <v>1018512339</v>
      </c>
      <c r="R159">
        <v>522060</v>
      </c>
    </row>
    <row r="160" spans="1:18" x14ac:dyDescent="0.2">
      <c r="A160" t="s">
        <v>298</v>
      </c>
      <c r="B160" t="s">
        <v>25</v>
      </c>
      <c r="C160" t="s">
        <v>25</v>
      </c>
      <c r="D160" t="s">
        <v>595</v>
      </c>
      <c r="E160" t="s">
        <v>584</v>
      </c>
      <c r="F160" t="s">
        <v>22</v>
      </c>
      <c r="G160">
        <v>98230</v>
      </c>
      <c r="H160" s="1">
        <v>46057.166284722225</v>
      </c>
      <c r="I160" t="s">
        <v>287</v>
      </c>
      <c r="J160" t="s">
        <v>288</v>
      </c>
      <c r="K160" t="s">
        <v>592</v>
      </c>
      <c r="L160">
        <v>4</v>
      </c>
      <c r="M160">
        <v>1</v>
      </c>
      <c r="N160">
        <v>2154</v>
      </c>
      <c r="O160">
        <v>2026</v>
      </c>
      <c r="P160" t="s">
        <v>25</v>
      </c>
      <c r="Q160">
        <v>1018512346</v>
      </c>
      <c r="R160">
        <v>522058</v>
      </c>
    </row>
    <row r="161" spans="1:18" x14ac:dyDescent="0.2">
      <c r="A161" t="s">
        <v>298</v>
      </c>
      <c r="B161" t="s">
        <v>25</v>
      </c>
      <c r="C161" t="s">
        <v>25</v>
      </c>
      <c r="D161" t="s">
        <v>596</v>
      </c>
      <c r="E161" t="s">
        <v>584</v>
      </c>
      <c r="F161" t="s">
        <v>22</v>
      </c>
      <c r="G161">
        <v>98230</v>
      </c>
      <c r="H161" s="1">
        <v>46057.166284722225</v>
      </c>
      <c r="I161" t="s">
        <v>287</v>
      </c>
      <c r="J161" t="s">
        <v>288</v>
      </c>
      <c r="K161" t="s">
        <v>597</v>
      </c>
      <c r="L161">
        <v>5</v>
      </c>
      <c r="M161">
        <v>1</v>
      </c>
      <c r="N161">
        <v>2319</v>
      </c>
      <c r="O161">
        <v>2026</v>
      </c>
      <c r="P161" t="s">
        <v>25</v>
      </c>
      <c r="Q161">
        <v>1018512349</v>
      </c>
      <c r="R161">
        <v>522057</v>
      </c>
    </row>
    <row r="162" spans="1:18" x14ac:dyDescent="0.2">
      <c r="A162" t="s">
        <v>598</v>
      </c>
      <c r="B162" t="str">
        <f>HYPERLINK("tel:4259492845", "4259492845")</f>
        <v>4259492845</v>
      </c>
      <c r="C162" t="s">
        <v>599</v>
      </c>
      <c r="D162" t="s">
        <v>600</v>
      </c>
      <c r="E162" t="s">
        <v>47</v>
      </c>
      <c r="F162" t="s">
        <v>22</v>
      </c>
      <c r="G162">
        <v>98053</v>
      </c>
      <c r="H162" s="1">
        <v>46056.129965277774</v>
      </c>
      <c r="I162" t="s">
        <v>23</v>
      </c>
      <c r="J162" t="s">
        <v>23</v>
      </c>
      <c r="K162" t="s">
        <v>601</v>
      </c>
      <c r="L162">
        <v>4</v>
      </c>
      <c r="M162">
        <v>3</v>
      </c>
      <c r="N162">
        <v>2510</v>
      </c>
      <c r="O162">
        <v>2001</v>
      </c>
      <c r="P162" t="s">
        <v>25</v>
      </c>
      <c r="Q162">
        <v>1018201925</v>
      </c>
      <c r="R162">
        <v>521768</v>
      </c>
    </row>
    <row r="163" spans="1:18" x14ac:dyDescent="0.2">
      <c r="A163" t="s">
        <v>602</v>
      </c>
      <c r="B163" t="str">
        <f>HYPERLINK("tel:2242436335", "2242436335")</f>
        <v>2242436335</v>
      </c>
      <c r="C163" t="s">
        <v>603</v>
      </c>
      <c r="D163" t="s">
        <v>604</v>
      </c>
      <c r="E163" t="s">
        <v>106</v>
      </c>
      <c r="F163" t="s">
        <v>22</v>
      </c>
      <c r="G163">
        <v>98006</v>
      </c>
      <c r="H163" s="1">
        <v>46056.137303240743</v>
      </c>
      <c r="I163" t="s">
        <v>29</v>
      </c>
      <c r="J163" t="s">
        <v>30</v>
      </c>
      <c r="K163" t="s">
        <v>605</v>
      </c>
      <c r="L163">
        <v>4</v>
      </c>
      <c r="M163">
        <v>4</v>
      </c>
      <c r="N163">
        <v>3620</v>
      </c>
      <c r="O163">
        <v>2022</v>
      </c>
      <c r="P163" t="s">
        <v>25</v>
      </c>
      <c r="Q163">
        <v>1018217483</v>
      </c>
      <c r="R163">
        <v>521766</v>
      </c>
    </row>
    <row r="164" spans="1:18" x14ac:dyDescent="0.2">
      <c r="A164" t="s">
        <v>606</v>
      </c>
      <c r="B164" t="str">
        <f>HYPERLINK("tel:6088863919", "6088863919")</f>
        <v>6088863919</v>
      </c>
      <c r="C164" t="s">
        <v>607</v>
      </c>
      <c r="D164" t="s">
        <v>608</v>
      </c>
      <c r="E164" t="s">
        <v>609</v>
      </c>
      <c r="F164" t="s">
        <v>22</v>
      </c>
      <c r="G164">
        <v>98467</v>
      </c>
      <c r="H164" s="1">
        <v>46056.137291666666</v>
      </c>
      <c r="I164" t="s">
        <v>29</v>
      </c>
      <c r="J164" t="s">
        <v>30</v>
      </c>
      <c r="K164" t="s">
        <v>610</v>
      </c>
      <c r="L164">
        <v>4</v>
      </c>
      <c r="M164">
        <v>3</v>
      </c>
      <c r="N164">
        <v>2545</v>
      </c>
      <c r="O164">
        <v>2000</v>
      </c>
      <c r="P164" t="s">
        <v>25</v>
      </c>
      <c r="Q164">
        <v>1018217481</v>
      </c>
      <c r="R164">
        <v>521767</v>
      </c>
    </row>
    <row r="165" spans="1:18" x14ac:dyDescent="0.2">
      <c r="A165" t="s">
        <v>611</v>
      </c>
      <c r="B165" t="str">
        <f>HYPERLINK("tel:3606433113", "3606433113")</f>
        <v>3606433113</v>
      </c>
      <c r="C165" t="s">
        <v>612</v>
      </c>
      <c r="D165" t="s">
        <v>613</v>
      </c>
      <c r="E165" t="s">
        <v>300</v>
      </c>
      <c r="F165" t="s">
        <v>22</v>
      </c>
      <c r="G165">
        <v>98368</v>
      </c>
      <c r="H165" s="1">
        <v>46056.137303240743</v>
      </c>
      <c r="I165" t="s">
        <v>29</v>
      </c>
      <c r="J165" t="s">
        <v>30</v>
      </c>
      <c r="K165" t="s">
        <v>614</v>
      </c>
      <c r="L165">
        <v>1</v>
      </c>
      <c r="M165">
        <v>1</v>
      </c>
      <c r="N165">
        <v>576</v>
      </c>
      <c r="O165">
        <v>2001</v>
      </c>
      <c r="P165" t="s">
        <v>25</v>
      </c>
      <c r="Q165">
        <v>1018217490</v>
      </c>
      <c r="R165">
        <v>521764</v>
      </c>
    </row>
    <row r="166" spans="1:18" x14ac:dyDescent="0.2">
      <c r="A166" t="s">
        <v>615</v>
      </c>
      <c r="B166" t="str">
        <f>HYPERLINK("tel:2064583001", "2064583001")</f>
        <v>2064583001</v>
      </c>
      <c r="C166" t="s">
        <v>25</v>
      </c>
      <c r="D166" t="s">
        <v>616</v>
      </c>
      <c r="E166" t="s">
        <v>39</v>
      </c>
      <c r="F166" t="s">
        <v>22</v>
      </c>
      <c r="G166">
        <v>98445</v>
      </c>
      <c r="H166" s="1">
        <v>46056.137303240743</v>
      </c>
      <c r="I166" t="s">
        <v>29</v>
      </c>
      <c r="J166" t="s">
        <v>30</v>
      </c>
      <c r="K166" t="s">
        <v>617</v>
      </c>
      <c r="L166">
        <v>4</v>
      </c>
      <c r="M166">
        <v>3</v>
      </c>
      <c r="N166">
        <v>2024</v>
      </c>
      <c r="O166">
        <v>2005</v>
      </c>
      <c r="P166" t="s">
        <v>25</v>
      </c>
      <c r="Q166">
        <v>1018217487</v>
      </c>
      <c r="R166">
        <v>521765</v>
      </c>
    </row>
    <row r="167" spans="1:18" x14ac:dyDescent="0.2">
      <c r="A167" t="s">
        <v>618</v>
      </c>
      <c r="B167" t="str">
        <f>HYPERLINK("tel:3604021950", "3604021950")</f>
        <v>3604021950</v>
      </c>
      <c r="C167" t="s">
        <v>619</v>
      </c>
      <c r="D167" t="s">
        <v>620</v>
      </c>
      <c r="E167" t="s">
        <v>28</v>
      </c>
      <c r="F167" t="s">
        <v>22</v>
      </c>
      <c r="G167">
        <v>98118</v>
      </c>
      <c r="H167" s="1">
        <v>46056.137303240743</v>
      </c>
      <c r="I167" t="s">
        <v>29</v>
      </c>
      <c r="J167" t="s">
        <v>30</v>
      </c>
      <c r="K167" t="s">
        <v>621</v>
      </c>
      <c r="L167">
        <v>2</v>
      </c>
      <c r="M167">
        <v>1</v>
      </c>
      <c r="N167">
        <v>1100</v>
      </c>
      <c r="O167">
        <v>2002</v>
      </c>
      <c r="P167" t="s">
        <v>25</v>
      </c>
      <c r="Q167">
        <v>1018217493</v>
      </c>
      <c r="R167">
        <v>521763</v>
      </c>
    </row>
    <row r="168" spans="1:18" x14ac:dyDescent="0.2">
      <c r="A168" t="s">
        <v>622</v>
      </c>
      <c r="B168" t="str">
        <f>HYPERLINK("tel:2063101250", "2063101250")</f>
        <v>2063101250</v>
      </c>
      <c r="C168" t="s">
        <v>25</v>
      </c>
      <c r="D168" t="s">
        <v>623</v>
      </c>
      <c r="E168" t="s">
        <v>547</v>
      </c>
      <c r="F168" t="s">
        <v>22</v>
      </c>
      <c r="G168">
        <v>98033</v>
      </c>
      <c r="H168" s="1">
        <v>46056.137303240743</v>
      </c>
      <c r="I168" t="s">
        <v>29</v>
      </c>
      <c r="J168" t="s">
        <v>30</v>
      </c>
      <c r="K168" t="s">
        <v>624</v>
      </c>
      <c r="L168">
        <v>2</v>
      </c>
      <c r="M168">
        <v>1</v>
      </c>
      <c r="N168">
        <v>872</v>
      </c>
      <c r="O168">
        <v>1978</v>
      </c>
      <c r="P168" t="s">
        <v>25</v>
      </c>
      <c r="Q168">
        <v>1018217498</v>
      </c>
      <c r="R168">
        <v>521761</v>
      </c>
    </row>
    <row r="169" spans="1:18" x14ac:dyDescent="0.2">
      <c r="A169" t="s">
        <v>82</v>
      </c>
      <c r="B169" t="s">
        <v>25</v>
      </c>
      <c r="C169" t="s">
        <v>25</v>
      </c>
      <c r="D169" t="s">
        <v>625</v>
      </c>
      <c r="E169" t="s">
        <v>28</v>
      </c>
      <c r="F169" t="s">
        <v>22</v>
      </c>
      <c r="G169">
        <v>98144</v>
      </c>
      <c r="H169" s="1">
        <v>46056.137303240743</v>
      </c>
      <c r="I169" t="s">
        <v>29</v>
      </c>
      <c r="J169" t="s">
        <v>30</v>
      </c>
      <c r="K169" t="s">
        <v>626</v>
      </c>
      <c r="L169">
        <v>2</v>
      </c>
      <c r="M169">
        <v>1</v>
      </c>
      <c r="N169">
        <v>800</v>
      </c>
      <c r="O169" t="s">
        <v>25</v>
      </c>
      <c r="P169" t="s">
        <v>25</v>
      </c>
      <c r="Q169">
        <v>1018217495</v>
      </c>
      <c r="R169">
        <v>521762</v>
      </c>
    </row>
    <row r="170" spans="1:18" x14ac:dyDescent="0.2">
      <c r="A170" t="s">
        <v>627</v>
      </c>
      <c r="B170" t="str">
        <f>HYPERLINK("tel:4252756614", "4252756614")</f>
        <v>4252756614</v>
      </c>
      <c r="C170" t="s">
        <v>25</v>
      </c>
      <c r="D170" t="s">
        <v>628</v>
      </c>
      <c r="E170" t="s">
        <v>468</v>
      </c>
      <c r="F170" t="s">
        <v>22</v>
      </c>
      <c r="G170">
        <v>98290</v>
      </c>
      <c r="H170" s="1">
        <v>46056.137303240743</v>
      </c>
      <c r="I170" t="s">
        <v>29</v>
      </c>
      <c r="J170" t="s">
        <v>30</v>
      </c>
      <c r="K170" t="s">
        <v>629</v>
      </c>
      <c r="L170">
        <v>1</v>
      </c>
      <c r="M170">
        <v>1</v>
      </c>
      <c r="N170">
        <v>650</v>
      </c>
      <c r="O170" t="s">
        <v>25</v>
      </c>
      <c r="P170" t="s">
        <v>25</v>
      </c>
      <c r="Q170">
        <v>1018217504</v>
      </c>
      <c r="R170">
        <v>521759</v>
      </c>
    </row>
    <row r="171" spans="1:18" x14ac:dyDescent="0.2">
      <c r="A171" t="s">
        <v>630</v>
      </c>
      <c r="B171" t="str">
        <f>HYPERLINK("tel:8649797671", "8649797671")</f>
        <v>8649797671</v>
      </c>
      <c r="C171" t="s">
        <v>631</v>
      </c>
      <c r="D171" t="s">
        <v>632</v>
      </c>
      <c r="E171" t="s">
        <v>633</v>
      </c>
      <c r="F171" t="s">
        <v>22</v>
      </c>
      <c r="G171">
        <v>98388</v>
      </c>
      <c r="H171" s="1">
        <v>46056.137303240743</v>
      </c>
      <c r="I171" t="s">
        <v>29</v>
      </c>
      <c r="J171" t="s">
        <v>30</v>
      </c>
      <c r="K171" t="s">
        <v>634</v>
      </c>
      <c r="L171">
        <v>3</v>
      </c>
      <c r="M171">
        <v>2</v>
      </c>
      <c r="N171">
        <v>1898</v>
      </c>
      <c r="O171">
        <v>1994</v>
      </c>
      <c r="P171" t="s">
        <v>25</v>
      </c>
      <c r="Q171">
        <v>1018217500</v>
      </c>
      <c r="R171">
        <v>521760</v>
      </c>
    </row>
    <row r="172" spans="1:18" x14ac:dyDescent="0.2">
      <c r="A172" t="s">
        <v>82</v>
      </c>
      <c r="B172" t="s">
        <v>25</v>
      </c>
      <c r="C172" t="s">
        <v>25</v>
      </c>
      <c r="D172" t="s">
        <v>635</v>
      </c>
      <c r="E172" t="s">
        <v>228</v>
      </c>
      <c r="F172" t="s">
        <v>22</v>
      </c>
      <c r="G172">
        <v>98370</v>
      </c>
      <c r="H172" s="1">
        <v>46056.137303240743</v>
      </c>
      <c r="I172" t="s">
        <v>29</v>
      </c>
      <c r="J172" t="s">
        <v>30</v>
      </c>
      <c r="K172" t="s">
        <v>636</v>
      </c>
      <c r="L172">
        <v>0</v>
      </c>
      <c r="M172">
        <v>1</v>
      </c>
      <c r="N172">
        <v>350</v>
      </c>
      <c r="O172" t="s">
        <v>25</v>
      </c>
      <c r="P172" t="s">
        <v>25</v>
      </c>
      <c r="Q172">
        <v>1018217507</v>
      </c>
      <c r="R172">
        <v>521758</v>
      </c>
    </row>
    <row r="173" spans="1:18" x14ac:dyDescent="0.2">
      <c r="A173" t="s">
        <v>637</v>
      </c>
      <c r="B173" t="str">
        <f>HYPERLINK("tel:2532274120", "2532274120")</f>
        <v>2532274120</v>
      </c>
      <c r="C173" t="s">
        <v>25</v>
      </c>
      <c r="D173" t="s">
        <v>638</v>
      </c>
      <c r="E173" t="s">
        <v>39</v>
      </c>
      <c r="F173" t="s">
        <v>22</v>
      </c>
      <c r="G173">
        <v>98466</v>
      </c>
      <c r="H173" s="1">
        <v>46056.137303240743</v>
      </c>
      <c r="I173" t="s">
        <v>29</v>
      </c>
      <c r="J173" t="s">
        <v>30</v>
      </c>
      <c r="K173" t="s">
        <v>639</v>
      </c>
      <c r="L173">
        <v>2</v>
      </c>
      <c r="M173">
        <v>1</v>
      </c>
      <c r="N173">
        <v>600</v>
      </c>
      <c r="O173" t="s">
        <v>25</v>
      </c>
      <c r="P173" t="s">
        <v>25</v>
      </c>
      <c r="Q173">
        <v>1018217515</v>
      </c>
      <c r="R173">
        <v>521756</v>
      </c>
    </row>
    <row r="174" spans="1:18" x14ac:dyDescent="0.2">
      <c r="A174" t="s">
        <v>640</v>
      </c>
      <c r="B174" t="str">
        <f>HYPERLINK("tel:4256149199", "4256149199")</f>
        <v>4256149199</v>
      </c>
      <c r="C174" t="s">
        <v>641</v>
      </c>
      <c r="D174" t="s">
        <v>642</v>
      </c>
      <c r="E174" t="s">
        <v>118</v>
      </c>
      <c r="F174" t="s">
        <v>22</v>
      </c>
      <c r="G174">
        <v>98029</v>
      </c>
      <c r="H174" s="1">
        <v>46056.137303240743</v>
      </c>
      <c r="I174" t="s">
        <v>29</v>
      </c>
      <c r="J174" t="s">
        <v>30</v>
      </c>
      <c r="K174" t="s">
        <v>643</v>
      </c>
      <c r="L174">
        <v>4</v>
      </c>
      <c r="M174">
        <v>3</v>
      </c>
      <c r="N174">
        <v>2330</v>
      </c>
      <c r="O174">
        <v>2005</v>
      </c>
      <c r="P174" t="s">
        <v>25</v>
      </c>
      <c r="Q174">
        <v>1018217511</v>
      </c>
      <c r="R174">
        <v>521757</v>
      </c>
    </row>
    <row r="175" spans="1:18" x14ac:dyDescent="0.2">
      <c r="A175" t="s">
        <v>644</v>
      </c>
      <c r="B175" t="str">
        <f>HYPERLINK("tel:4255165148", "4255165148")</f>
        <v>4255165148</v>
      </c>
      <c r="C175" t="s">
        <v>645</v>
      </c>
      <c r="D175" t="s">
        <v>646</v>
      </c>
      <c r="E175" t="s">
        <v>47</v>
      </c>
      <c r="F175" t="s">
        <v>22</v>
      </c>
      <c r="G175">
        <v>98052</v>
      </c>
      <c r="H175" s="1">
        <v>46056.137303240743</v>
      </c>
      <c r="I175" t="s">
        <v>29</v>
      </c>
      <c r="J175" t="s">
        <v>30</v>
      </c>
      <c r="K175" t="s">
        <v>647</v>
      </c>
      <c r="L175">
        <v>2</v>
      </c>
      <c r="M175">
        <v>1</v>
      </c>
      <c r="N175">
        <v>933</v>
      </c>
      <c r="O175">
        <v>1993</v>
      </c>
      <c r="P175" t="s">
        <v>25</v>
      </c>
      <c r="Q175">
        <v>1018217521</v>
      </c>
      <c r="R175">
        <v>521754</v>
      </c>
    </row>
    <row r="176" spans="1:18" x14ac:dyDescent="0.2">
      <c r="A176" t="s">
        <v>648</v>
      </c>
      <c r="B176" t="str">
        <f>HYPERLINK("tel:4253461558", "4253461558")</f>
        <v>4253461558</v>
      </c>
      <c r="C176" t="s">
        <v>25</v>
      </c>
      <c r="D176" t="s">
        <v>649</v>
      </c>
      <c r="E176" t="s">
        <v>113</v>
      </c>
      <c r="F176" t="s">
        <v>22</v>
      </c>
      <c r="G176">
        <v>98201</v>
      </c>
      <c r="H176" s="1">
        <v>46056.137303240743</v>
      </c>
      <c r="I176" t="s">
        <v>29</v>
      </c>
      <c r="J176" t="s">
        <v>30</v>
      </c>
      <c r="K176" t="s">
        <v>650</v>
      </c>
      <c r="L176">
        <v>1</v>
      </c>
      <c r="M176">
        <v>1</v>
      </c>
      <c r="N176">
        <v>600</v>
      </c>
      <c r="O176" t="s">
        <v>25</v>
      </c>
      <c r="P176" t="s">
        <v>25</v>
      </c>
      <c r="Q176">
        <v>1018217516</v>
      </c>
      <c r="R176">
        <v>521755</v>
      </c>
    </row>
    <row r="177" spans="1:18" x14ac:dyDescent="0.2">
      <c r="A177" t="s">
        <v>651</v>
      </c>
      <c r="B177" t="str">
        <f>HYPERLINK("tel:4254431691", "4254431691")</f>
        <v>4254431691</v>
      </c>
      <c r="C177" t="s">
        <v>25</v>
      </c>
      <c r="D177" t="s">
        <v>652</v>
      </c>
      <c r="E177" t="s">
        <v>653</v>
      </c>
      <c r="F177" t="s">
        <v>22</v>
      </c>
      <c r="G177">
        <v>98272</v>
      </c>
      <c r="H177" s="1">
        <v>46056.137303240743</v>
      </c>
      <c r="I177" t="s">
        <v>29</v>
      </c>
      <c r="J177" t="s">
        <v>30</v>
      </c>
      <c r="K177" t="s">
        <v>654</v>
      </c>
      <c r="L177">
        <v>3</v>
      </c>
      <c r="M177">
        <v>3</v>
      </c>
      <c r="N177">
        <v>2468</v>
      </c>
      <c r="O177">
        <v>2005</v>
      </c>
      <c r="P177" t="s">
        <v>25</v>
      </c>
      <c r="Q177">
        <v>1018217531</v>
      </c>
      <c r="R177">
        <v>521752</v>
      </c>
    </row>
    <row r="178" spans="1:18" x14ac:dyDescent="0.2">
      <c r="A178" t="s">
        <v>655</v>
      </c>
      <c r="B178" t="str">
        <f>HYPERLINK("tel:2062221395", "2062221395")</f>
        <v>2062221395</v>
      </c>
      <c r="C178" t="s">
        <v>25</v>
      </c>
      <c r="D178" t="s">
        <v>656</v>
      </c>
      <c r="E178" t="s">
        <v>158</v>
      </c>
      <c r="F178" t="s">
        <v>22</v>
      </c>
      <c r="G178">
        <v>98040</v>
      </c>
      <c r="H178" s="1">
        <v>46056.137303240743</v>
      </c>
      <c r="I178" t="s">
        <v>29</v>
      </c>
      <c r="J178" t="s">
        <v>30</v>
      </c>
      <c r="K178" t="s">
        <v>657</v>
      </c>
      <c r="L178">
        <v>1</v>
      </c>
      <c r="M178">
        <v>1</v>
      </c>
      <c r="N178">
        <v>850</v>
      </c>
      <c r="O178">
        <v>1915</v>
      </c>
      <c r="P178" t="s">
        <v>25</v>
      </c>
      <c r="Q178">
        <v>1018217526</v>
      </c>
      <c r="R178">
        <v>521753</v>
      </c>
    </row>
    <row r="179" spans="1:18" x14ac:dyDescent="0.2">
      <c r="A179" t="s">
        <v>658</v>
      </c>
      <c r="B179" t="str">
        <f>HYPERLINK("tel:2104142896", "2104142896")</f>
        <v>2104142896</v>
      </c>
      <c r="C179" t="s">
        <v>659</v>
      </c>
      <c r="D179" t="s">
        <v>660</v>
      </c>
      <c r="E179" t="s">
        <v>661</v>
      </c>
      <c r="F179" t="s">
        <v>22</v>
      </c>
      <c r="G179">
        <v>98274</v>
      </c>
      <c r="H179" s="1">
        <v>46056.137303240743</v>
      </c>
      <c r="I179" t="s">
        <v>29</v>
      </c>
      <c r="J179" t="s">
        <v>30</v>
      </c>
      <c r="K179" t="s">
        <v>662</v>
      </c>
      <c r="L179">
        <v>3</v>
      </c>
      <c r="M179">
        <v>3</v>
      </c>
      <c r="N179">
        <v>1940</v>
      </c>
      <c r="O179">
        <v>2019</v>
      </c>
      <c r="P179" t="s">
        <v>25</v>
      </c>
      <c r="Q179">
        <v>1018217533</v>
      </c>
      <c r="R179">
        <v>521751</v>
      </c>
    </row>
    <row r="180" spans="1:18" x14ac:dyDescent="0.2">
      <c r="A180" t="s">
        <v>663</v>
      </c>
      <c r="B180" t="str">
        <f>HYPERLINK("tel:4257616604", "4257616604")</f>
        <v>4257616604</v>
      </c>
      <c r="C180" t="s">
        <v>25</v>
      </c>
      <c r="D180" t="s">
        <v>664</v>
      </c>
      <c r="E180" t="s">
        <v>547</v>
      </c>
      <c r="F180" t="s">
        <v>22</v>
      </c>
      <c r="G180">
        <v>98033</v>
      </c>
      <c r="H180" s="1">
        <v>46056.137314814812</v>
      </c>
      <c r="I180" t="s">
        <v>29</v>
      </c>
      <c r="J180" t="s">
        <v>30</v>
      </c>
      <c r="K180" t="s">
        <v>665</v>
      </c>
      <c r="L180">
        <v>2</v>
      </c>
      <c r="M180">
        <v>2</v>
      </c>
      <c r="N180">
        <v>1058</v>
      </c>
      <c r="O180" t="s">
        <v>25</v>
      </c>
      <c r="P180" t="s">
        <v>25</v>
      </c>
      <c r="Q180">
        <v>1018217539</v>
      </c>
      <c r="R180">
        <v>521749</v>
      </c>
    </row>
    <row r="181" spans="1:18" x14ac:dyDescent="0.2">
      <c r="A181" t="s">
        <v>666</v>
      </c>
      <c r="B181" t="str">
        <f>HYPERLINK("tel:2062375710", "2062375710")</f>
        <v>2062375710</v>
      </c>
      <c r="C181" t="s">
        <v>25</v>
      </c>
      <c r="D181" t="s">
        <v>667</v>
      </c>
      <c r="E181" t="s">
        <v>668</v>
      </c>
      <c r="F181" t="s">
        <v>22</v>
      </c>
      <c r="G181">
        <v>98366</v>
      </c>
      <c r="H181" s="1">
        <v>46056.137303240743</v>
      </c>
      <c r="I181" t="s">
        <v>29</v>
      </c>
      <c r="J181" t="s">
        <v>30</v>
      </c>
      <c r="K181" t="s">
        <v>669</v>
      </c>
      <c r="L181">
        <v>3</v>
      </c>
      <c r="M181">
        <v>2</v>
      </c>
      <c r="N181">
        <v>1764</v>
      </c>
      <c r="O181" t="s">
        <v>25</v>
      </c>
      <c r="P181" t="s">
        <v>25</v>
      </c>
      <c r="Q181">
        <v>1018217536</v>
      </c>
      <c r="R181">
        <v>521750</v>
      </c>
    </row>
    <row r="182" spans="1:18" x14ac:dyDescent="0.2">
      <c r="A182" t="s">
        <v>670</v>
      </c>
      <c r="B182" t="str">
        <f>HYPERLINK("tel:3238532358", "3238532358")</f>
        <v>3238532358</v>
      </c>
      <c r="C182" t="s">
        <v>671</v>
      </c>
      <c r="D182" t="s">
        <v>672</v>
      </c>
      <c r="E182" t="s">
        <v>378</v>
      </c>
      <c r="F182" t="s">
        <v>22</v>
      </c>
      <c r="G182">
        <v>98038</v>
      </c>
      <c r="H182" s="1">
        <v>46056.137314814812</v>
      </c>
      <c r="I182" t="s">
        <v>29</v>
      </c>
      <c r="J182" t="s">
        <v>30</v>
      </c>
      <c r="K182" t="s">
        <v>673</v>
      </c>
      <c r="L182">
        <v>5</v>
      </c>
      <c r="M182">
        <v>2</v>
      </c>
      <c r="N182">
        <v>2550</v>
      </c>
      <c r="O182">
        <v>2006</v>
      </c>
      <c r="P182" t="s">
        <v>25</v>
      </c>
      <c r="Q182">
        <v>1018217544</v>
      </c>
      <c r="R182">
        <v>521748</v>
      </c>
    </row>
    <row r="183" spans="1:18" x14ac:dyDescent="0.2">
      <c r="A183" t="s">
        <v>674</v>
      </c>
      <c r="B183" t="str">
        <f>HYPERLINK("tel:2069207197", "2069207197")</f>
        <v>2069207197</v>
      </c>
      <c r="C183" t="s">
        <v>675</v>
      </c>
      <c r="D183" t="s">
        <v>676</v>
      </c>
      <c r="E183" t="s">
        <v>39</v>
      </c>
      <c r="F183" t="s">
        <v>22</v>
      </c>
      <c r="G183">
        <v>98404</v>
      </c>
      <c r="H183" s="1">
        <v>46056.137314814812</v>
      </c>
      <c r="I183" t="s">
        <v>29</v>
      </c>
      <c r="J183" t="s">
        <v>30</v>
      </c>
      <c r="K183" t="s">
        <v>677</v>
      </c>
      <c r="L183">
        <v>4</v>
      </c>
      <c r="M183">
        <v>3</v>
      </c>
      <c r="N183">
        <v>1986</v>
      </c>
      <c r="O183">
        <v>2021</v>
      </c>
      <c r="P183" t="s">
        <v>25</v>
      </c>
      <c r="Q183">
        <v>1018217550</v>
      </c>
      <c r="R183">
        <v>521746</v>
      </c>
    </row>
    <row r="184" spans="1:18" x14ac:dyDescent="0.2">
      <c r="A184" t="s">
        <v>678</v>
      </c>
      <c r="B184" t="str">
        <f>HYPERLINK("tel:2063210131", "2063210131")</f>
        <v>2063210131</v>
      </c>
      <c r="C184" t="s">
        <v>25</v>
      </c>
      <c r="D184" t="s">
        <v>679</v>
      </c>
      <c r="E184" t="s">
        <v>680</v>
      </c>
      <c r="F184" t="s">
        <v>22</v>
      </c>
      <c r="G184">
        <v>98045</v>
      </c>
      <c r="H184" s="1">
        <v>46056.137314814812</v>
      </c>
      <c r="I184" t="s">
        <v>29</v>
      </c>
      <c r="J184" t="s">
        <v>30</v>
      </c>
      <c r="K184" t="s">
        <v>681</v>
      </c>
      <c r="L184">
        <v>2</v>
      </c>
      <c r="M184">
        <v>2</v>
      </c>
      <c r="N184">
        <v>903</v>
      </c>
      <c r="O184" t="s">
        <v>25</v>
      </c>
      <c r="P184" t="s">
        <v>25</v>
      </c>
      <c r="Q184">
        <v>1018217547</v>
      </c>
      <c r="R184">
        <v>521747</v>
      </c>
    </row>
    <row r="185" spans="1:18" x14ac:dyDescent="0.2">
      <c r="A185" t="s">
        <v>682</v>
      </c>
      <c r="B185" t="str">
        <f>HYPERLINK("tel:5103695751", "5103695751")</f>
        <v>5103695751</v>
      </c>
      <c r="C185" t="s">
        <v>25</v>
      </c>
      <c r="D185" t="s">
        <v>683</v>
      </c>
      <c r="E185" t="s">
        <v>304</v>
      </c>
      <c r="F185" t="s">
        <v>22</v>
      </c>
      <c r="G185">
        <v>98001</v>
      </c>
      <c r="H185" s="1">
        <v>46056.137314814812</v>
      </c>
      <c r="I185" t="s">
        <v>29</v>
      </c>
      <c r="J185" t="s">
        <v>30</v>
      </c>
      <c r="K185" t="s">
        <v>684</v>
      </c>
      <c r="L185">
        <v>3</v>
      </c>
      <c r="M185">
        <v>1</v>
      </c>
      <c r="N185">
        <v>1700</v>
      </c>
      <c r="O185" t="s">
        <v>25</v>
      </c>
      <c r="P185" t="s">
        <v>25</v>
      </c>
      <c r="Q185">
        <v>1018217553</v>
      </c>
      <c r="R185">
        <v>521745</v>
      </c>
    </row>
    <row r="186" spans="1:18" x14ac:dyDescent="0.2">
      <c r="A186" t="s">
        <v>685</v>
      </c>
      <c r="B186" t="str">
        <f>HYPERLINK("tel:2539887797", "2539887797")</f>
        <v>2539887797</v>
      </c>
      <c r="C186" t="s">
        <v>686</v>
      </c>
      <c r="D186" t="s">
        <v>687</v>
      </c>
      <c r="E186" t="s">
        <v>143</v>
      </c>
      <c r="F186" t="s">
        <v>22</v>
      </c>
      <c r="G186">
        <v>98373</v>
      </c>
      <c r="H186" s="1">
        <v>46056.137314814812</v>
      </c>
      <c r="I186" t="s">
        <v>29</v>
      </c>
      <c r="J186" t="s">
        <v>30</v>
      </c>
      <c r="K186" t="s">
        <v>688</v>
      </c>
      <c r="L186">
        <v>1</v>
      </c>
      <c r="M186">
        <v>2</v>
      </c>
      <c r="N186">
        <v>3456</v>
      </c>
      <c r="O186" t="s">
        <v>25</v>
      </c>
      <c r="P186" t="s">
        <v>25</v>
      </c>
      <c r="Q186">
        <v>1018217555</v>
      </c>
      <c r="R186">
        <v>521744</v>
      </c>
    </row>
    <row r="187" spans="1:18" x14ac:dyDescent="0.2">
      <c r="A187" t="s">
        <v>689</v>
      </c>
      <c r="B187" t="s">
        <v>25</v>
      </c>
      <c r="C187" t="s">
        <v>690</v>
      </c>
      <c r="D187" t="s">
        <v>691</v>
      </c>
      <c r="E187" t="s">
        <v>692</v>
      </c>
      <c r="F187" t="s">
        <v>22</v>
      </c>
      <c r="G187">
        <v>98327</v>
      </c>
      <c r="H187" s="1">
        <v>46056.158715277779</v>
      </c>
      <c r="I187" t="s">
        <v>229</v>
      </c>
      <c r="J187" t="s">
        <v>288</v>
      </c>
      <c r="K187" t="s">
        <v>693</v>
      </c>
      <c r="L187">
        <v>5</v>
      </c>
      <c r="M187">
        <v>2</v>
      </c>
      <c r="N187">
        <v>3162</v>
      </c>
      <c r="O187">
        <v>2009</v>
      </c>
      <c r="P187" t="s">
        <v>25</v>
      </c>
      <c r="Q187">
        <v>1018284488</v>
      </c>
      <c r="R187">
        <v>521742</v>
      </c>
    </row>
    <row r="188" spans="1:18" x14ac:dyDescent="0.2">
      <c r="A188" t="s">
        <v>694</v>
      </c>
      <c r="B188" t="s">
        <v>25</v>
      </c>
      <c r="C188" t="s">
        <v>25</v>
      </c>
      <c r="D188" t="s">
        <v>695</v>
      </c>
      <c r="E188" t="s">
        <v>547</v>
      </c>
      <c r="F188" t="s">
        <v>22</v>
      </c>
      <c r="G188">
        <v>98034</v>
      </c>
      <c r="H188" s="1">
        <v>46056.158715277779</v>
      </c>
      <c r="I188" t="s">
        <v>229</v>
      </c>
      <c r="J188" t="s">
        <v>288</v>
      </c>
      <c r="K188" t="s">
        <v>696</v>
      </c>
      <c r="L188">
        <v>2</v>
      </c>
      <c r="M188">
        <v>2</v>
      </c>
      <c r="N188">
        <v>1240</v>
      </c>
      <c r="O188">
        <v>1984</v>
      </c>
      <c r="P188" t="s">
        <v>25</v>
      </c>
      <c r="Q188">
        <v>1018284471</v>
      </c>
      <c r="R188">
        <v>521743</v>
      </c>
    </row>
    <row r="189" spans="1:18" x14ac:dyDescent="0.2">
      <c r="A189" t="s">
        <v>697</v>
      </c>
      <c r="B189" t="s">
        <v>25</v>
      </c>
      <c r="C189" t="s">
        <v>698</v>
      </c>
      <c r="D189" t="s">
        <v>699</v>
      </c>
      <c r="E189" t="s">
        <v>346</v>
      </c>
      <c r="F189" t="s">
        <v>22</v>
      </c>
      <c r="G189">
        <v>98512</v>
      </c>
      <c r="H189" s="1">
        <v>46056.158715277779</v>
      </c>
      <c r="I189" t="s">
        <v>229</v>
      </c>
      <c r="J189" t="s">
        <v>288</v>
      </c>
      <c r="K189" t="s">
        <v>700</v>
      </c>
      <c r="L189">
        <v>3</v>
      </c>
      <c r="M189">
        <v>2</v>
      </c>
      <c r="N189">
        <v>2372</v>
      </c>
      <c r="O189">
        <v>2013</v>
      </c>
      <c r="P189" t="s">
        <v>25</v>
      </c>
      <c r="Q189">
        <v>1018284541</v>
      </c>
      <c r="R189">
        <v>521740</v>
      </c>
    </row>
    <row r="190" spans="1:18" x14ac:dyDescent="0.2">
      <c r="A190" t="s">
        <v>701</v>
      </c>
      <c r="B190" t="s">
        <v>25</v>
      </c>
      <c r="C190" t="s">
        <v>702</v>
      </c>
      <c r="D190" t="s">
        <v>703</v>
      </c>
      <c r="E190" t="s">
        <v>158</v>
      </c>
      <c r="F190" t="s">
        <v>22</v>
      </c>
      <c r="G190">
        <v>98040</v>
      </c>
      <c r="H190" s="1">
        <v>46056.158715277779</v>
      </c>
      <c r="I190" t="s">
        <v>229</v>
      </c>
      <c r="J190" t="s">
        <v>288</v>
      </c>
      <c r="K190" t="s">
        <v>704</v>
      </c>
      <c r="L190">
        <v>4</v>
      </c>
      <c r="M190">
        <v>1</v>
      </c>
      <c r="N190">
        <v>2340</v>
      </c>
      <c r="O190">
        <v>1958</v>
      </c>
      <c r="P190" t="s">
        <v>25</v>
      </c>
      <c r="Q190">
        <v>1018284523</v>
      </c>
      <c r="R190">
        <v>521741</v>
      </c>
    </row>
    <row r="191" spans="1:18" x14ac:dyDescent="0.2">
      <c r="A191" t="s">
        <v>705</v>
      </c>
      <c r="B191" t="s">
        <v>25</v>
      </c>
      <c r="C191" t="s">
        <v>25</v>
      </c>
      <c r="D191" t="s">
        <v>706</v>
      </c>
      <c r="E191" t="s">
        <v>113</v>
      </c>
      <c r="F191" t="s">
        <v>22</v>
      </c>
      <c r="G191">
        <v>98208</v>
      </c>
      <c r="H191" s="1">
        <v>46056.158715277779</v>
      </c>
      <c r="I191" t="s">
        <v>229</v>
      </c>
      <c r="J191" t="s">
        <v>288</v>
      </c>
      <c r="K191" t="s">
        <v>707</v>
      </c>
      <c r="L191">
        <v>2</v>
      </c>
      <c r="M191">
        <v>1</v>
      </c>
      <c r="N191">
        <v>672</v>
      </c>
      <c r="O191">
        <v>1960</v>
      </c>
      <c r="P191" t="s">
        <v>25</v>
      </c>
      <c r="Q191">
        <v>1018284578</v>
      </c>
      <c r="R191">
        <v>521738</v>
      </c>
    </row>
    <row r="192" spans="1:18" x14ac:dyDescent="0.2">
      <c r="A192" t="s">
        <v>708</v>
      </c>
      <c r="B192" t="s">
        <v>25</v>
      </c>
      <c r="C192" t="s">
        <v>709</v>
      </c>
      <c r="D192" t="s">
        <v>710</v>
      </c>
      <c r="E192" t="s">
        <v>711</v>
      </c>
      <c r="F192" t="s">
        <v>22</v>
      </c>
      <c r="G192">
        <v>98512</v>
      </c>
      <c r="H192" s="1">
        <v>46056.158715277779</v>
      </c>
      <c r="I192" t="s">
        <v>229</v>
      </c>
      <c r="J192" t="s">
        <v>288</v>
      </c>
      <c r="K192" t="s">
        <v>712</v>
      </c>
      <c r="L192">
        <v>4</v>
      </c>
      <c r="M192">
        <v>2</v>
      </c>
      <c r="N192">
        <v>2679</v>
      </c>
      <c r="O192">
        <v>2015</v>
      </c>
      <c r="P192" t="s">
        <v>25</v>
      </c>
      <c r="Q192">
        <v>1018284559</v>
      </c>
      <c r="R192">
        <v>521739</v>
      </c>
    </row>
    <row r="193" spans="1:18" x14ac:dyDescent="0.2">
      <c r="A193" t="s">
        <v>713</v>
      </c>
      <c r="B193" t="s">
        <v>25</v>
      </c>
      <c r="C193" t="s">
        <v>25</v>
      </c>
      <c r="D193" t="s">
        <v>714</v>
      </c>
      <c r="E193" t="s">
        <v>113</v>
      </c>
      <c r="F193" t="s">
        <v>22</v>
      </c>
      <c r="G193">
        <v>98206</v>
      </c>
      <c r="H193" s="1">
        <v>46056.158715277779</v>
      </c>
      <c r="I193" t="s">
        <v>229</v>
      </c>
      <c r="J193" t="s">
        <v>288</v>
      </c>
      <c r="K193" t="s">
        <v>715</v>
      </c>
      <c r="L193">
        <v>2</v>
      </c>
      <c r="M193">
        <v>1</v>
      </c>
      <c r="N193">
        <v>1880</v>
      </c>
      <c r="O193">
        <v>1966</v>
      </c>
      <c r="P193" t="s">
        <v>25</v>
      </c>
      <c r="Q193">
        <v>1018284593</v>
      </c>
      <c r="R193">
        <v>521737</v>
      </c>
    </row>
    <row r="194" spans="1:18" x14ac:dyDescent="0.2">
      <c r="A194" t="s">
        <v>716</v>
      </c>
      <c r="B194" t="s">
        <v>25</v>
      </c>
      <c r="C194" t="s">
        <v>717</v>
      </c>
      <c r="D194" t="s">
        <v>718</v>
      </c>
      <c r="E194" t="s">
        <v>719</v>
      </c>
      <c r="F194" t="s">
        <v>22</v>
      </c>
      <c r="G194">
        <v>98168</v>
      </c>
      <c r="H194" s="1">
        <v>46056.158715277779</v>
      </c>
      <c r="I194" t="s">
        <v>229</v>
      </c>
      <c r="J194" t="s">
        <v>288</v>
      </c>
      <c r="K194" t="s">
        <v>720</v>
      </c>
      <c r="L194">
        <v>5</v>
      </c>
      <c r="M194">
        <v>3</v>
      </c>
      <c r="N194">
        <v>1770</v>
      </c>
      <c r="O194">
        <v>1952</v>
      </c>
      <c r="P194" t="s">
        <v>25</v>
      </c>
      <c r="Q194">
        <v>1018284630</v>
      </c>
      <c r="R194">
        <v>521736</v>
      </c>
    </row>
    <row r="195" spans="1:18" x14ac:dyDescent="0.2">
      <c r="A195" t="s">
        <v>241</v>
      </c>
      <c r="B195" t="s">
        <v>25</v>
      </c>
      <c r="C195" t="s">
        <v>25</v>
      </c>
      <c r="D195" t="s">
        <v>721</v>
      </c>
      <c r="E195" t="s">
        <v>28</v>
      </c>
      <c r="F195" t="s">
        <v>22</v>
      </c>
      <c r="G195">
        <v>98108</v>
      </c>
      <c r="H195" s="1">
        <v>46056.158726851849</v>
      </c>
      <c r="I195" t="s">
        <v>229</v>
      </c>
      <c r="J195" t="s">
        <v>288</v>
      </c>
      <c r="K195" t="s">
        <v>722</v>
      </c>
      <c r="L195">
        <v>3</v>
      </c>
      <c r="M195">
        <v>1</v>
      </c>
      <c r="N195">
        <v>1281</v>
      </c>
      <c r="O195">
        <v>2021</v>
      </c>
      <c r="P195" t="s">
        <v>25</v>
      </c>
      <c r="Q195">
        <v>1018284670</v>
      </c>
      <c r="R195">
        <v>521734</v>
      </c>
    </row>
    <row r="196" spans="1:18" x14ac:dyDescent="0.2">
      <c r="A196" t="s">
        <v>723</v>
      </c>
      <c r="B196" t="s">
        <v>25</v>
      </c>
      <c r="C196" t="s">
        <v>25</v>
      </c>
      <c r="D196" t="s">
        <v>724</v>
      </c>
      <c r="E196" t="s">
        <v>275</v>
      </c>
      <c r="F196" t="s">
        <v>22</v>
      </c>
      <c r="G196">
        <v>98597</v>
      </c>
      <c r="H196" s="1">
        <v>46056.158726851849</v>
      </c>
      <c r="I196" t="s">
        <v>229</v>
      </c>
      <c r="J196" t="s">
        <v>288</v>
      </c>
      <c r="K196" t="s">
        <v>725</v>
      </c>
      <c r="L196">
        <v>4</v>
      </c>
      <c r="M196">
        <v>2</v>
      </c>
      <c r="N196">
        <v>1926</v>
      </c>
      <c r="O196">
        <v>2006</v>
      </c>
      <c r="P196" t="s">
        <v>25</v>
      </c>
      <c r="Q196">
        <v>1018284652</v>
      </c>
      <c r="R196">
        <v>521735</v>
      </c>
    </row>
    <row r="197" spans="1:18" x14ac:dyDescent="0.2">
      <c r="A197" t="s">
        <v>298</v>
      </c>
      <c r="B197" t="s">
        <v>25</v>
      </c>
      <c r="C197" t="s">
        <v>25</v>
      </c>
      <c r="D197" t="s">
        <v>726</v>
      </c>
      <c r="E197" t="s">
        <v>28</v>
      </c>
      <c r="F197" t="s">
        <v>22</v>
      </c>
      <c r="G197">
        <v>98103</v>
      </c>
      <c r="H197" s="1">
        <v>46056.158726851849</v>
      </c>
      <c r="I197" t="s">
        <v>229</v>
      </c>
      <c r="J197" t="s">
        <v>288</v>
      </c>
      <c r="K197" t="s">
        <v>727</v>
      </c>
      <c r="L197">
        <v>2</v>
      </c>
      <c r="M197">
        <v>1</v>
      </c>
      <c r="N197">
        <v>1050</v>
      </c>
      <c r="O197">
        <v>2026</v>
      </c>
      <c r="P197" t="s">
        <v>25</v>
      </c>
      <c r="Q197">
        <v>1018284707</v>
      </c>
      <c r="R197">
        <v>521732</v>
      </c>
    </row>
    <row r="198" spans="1:18" x14ac:dyDescent="0.2">
      <c r="A198" t="s">
        <v>241</v>
      </c>
      <c r="B198" t="s">
        <v>25</v>
      </c>
      <c r="C198" t="s">
        <v>25</v>
      </c>
      <c r="D198" t="s">
        <v>728</v>
      </c>
      <c r="E198" t="s">
        <v>28</v>
      </c>
      <c r="F198" t="s">
        <v>22</v>
      </c>
      <c r="G198">
        <v>98133</v>
      </c>
      <c r="H198" s="1">
        <v>46056.158726851849</v>
      </c>
      <c r="I198" t="s">
        <v>229</v>
      </c>
      <c r="J198" t="s">
        <v>288</v>
      </c>
      <c r="K198" t="s">
        <v>729</v>
      </c>
      <c r="L198">
        <v>2</v>
      </c>
      <c r="M198">
        <v>1</v>
      </c>
      <c r="N198">
        <v>1088</v>
      </c>
      <c r="O198">
        <v>2025</v>
      </c>
      <c r="P198" t="s">
        <v>25</v>
      </c>
      <c r="Q198">
        <v>1018284689</v>
      </c>
      <c r="R198">
        <v>521733</v>
      </c>
    </row>
    <row r="199" spans="1:18" x14ac:dyDescent="0.2">
      <c r="A199" t="s">
        <v>730</v>
      </c>
      <c r="B199" t="s">
        <v>25</v>
      </c>
      <c r="C199" t="s">
        <v>25</v>
      </c>
      <c r="D199" t="s">
        <v>731</v>
      </c>
      <c r="E199" t="s">
        <v>28</v>
      </c>
      <c r="F199" t="s">
        <v>22</v>
      </c>
      <c r="G199">
        <v>98103</v>
      </c>
      <c r="H199" s="1">
        <v>46056.158726851849</v>
      </c>
      <c r="I199" t="s">
        <v>229</v>
      </c>
      <c r="J199" t="s">
        <v>288</v>
      </c>
      <c r="K199" t="s">
        <v>732</v>
      </c>
      <c r="L199">
        <v>4</v>
      </c>
      <c r="M199">
        <v>2</v>
      </c>
      <c r="N199">
        <v>1625</v>
      </c>
      <c r="O199">
        <v>2025</v>
      </c>
      <c r="P199" t="s">
        <v>25</v>
      </c>
      <c r="Q199">
        <v>1018284724</v>
      </c>
      <c r="R199">
        <v>521731</v>
      </c>
    </row>
    <row r="200" spans="1:18" x14ac:dyDescent="0.2">
      <c r="A200" t="s">
        <v>733</v>
      </c>
      <c r="B200" t="s">
        <v>25</v>
      </c>
      <c r="C200" t="s">
        <v>734</v>
      </c>
      <c r="D200" t="s">
        <v>735</v>
      </c>
      <c r="E200" t="s">
        <v>736</v>
      </c>
      <c r="F200" t="s">
        <v>22</v>
      </c>
      <c r="G200">
        <v>98624</v>
      </c>
      <c r="H200" s="1">
        <v>46056.158726851849</v>
      </c>
      <c r="I200" t="s">
        <v>229</v>
      </c>
      <c r="J200" t="s">
        <v>288</v>
      </c>
      <c r="K200" t="s">
        <v>737</v>
      </c>
      <c r="L200">
        <v>4</v>
      </c>
      <c r="M200">
        <v>3</v>
      </c>
      <c r="N200">
        <v>2904</v>
      </c>
      <c r="O200">
        <v>2019</v>
      </c>
      <c r="P200" t="s">
        <v>25</v>
      </c>
      <c r="Q200">
        <v>1018284779</v>
      </c>
      <c r="R200">
        <v>521730</v>
      </c>
    </row>
    <row r="201" spans="1:18" x14ac:dyDescent="0.2">
      <c r="A201" t="s">
        <v>738</v>
      </c>
      <c r="B201" t="s">
        <v>25</v>
      </c>
      <c r="C201" t="s">
        <v>25</v>
      </c>
      <c r="D201" t="s">
        <v>739</v>
      </c>
      <c r="E201" t="s">
        <v>153</v>
      </c>
      <c r="F201" t="s">
        <v>22</v>
      </c>
      <c r="G201">
        <v>98166</v>
      </c>
      <c r="H201" s="1">
        <v>46056.158726851849</v>
      </c>
      <c r="I201" t="s">
        <v>229</v>
      </c>
      <c r="J201" t="s">
        <v>288</v>
      </c>
      <c r="K201" t="s">
        <v>740</v>
      </c>
      <c r="L201">
        <v>4</v>
      </c>
      <c r="M201">
        <v>2</v>
      </c>
      <c r="N201">
        <v>1892</v>
      </c>
      <c r="O201">
        <v>1921</v>
      </c>
      <c r="P201" t="s">
        <v>25</v>
      </c>
      <c r="Q201">
        <v>1018284835</v>
      </c>
      <c r="R201">
        <v>521728</v>
      </c>
    </row>
    <row r="202" spans="1:18" x14ac:dyDescent="0.2">
      <c r="A202" t="s">
        <v>741</v>
      </c>
      <c r="B202" t="s">
        <v>25</v>
      </c>
      <c r="C202" t="s">
        <v>25</v>
      </c>
      <c r="D202" t="s">
        <v>742</v>
      </c>
      <c r="E202" t="s">
        <v>743</v>
      </c>
      <c r="F202" t="s">
        <v>22</v>
      </c>
      <c r="G202">
        <v>98155</v>
      </c>
      <c r="H202" s="1">
        <v>46056.158726851849</v>
      </c>
      <c r="I202" t="s">
        <v>229</v>
      </c>
      <c r="J202" t="s">
        <v>288</v>
      </c>
      <c r="K202" t="s">
        <v>744</v>
      </c>
      <c r="L202">
        <v>3</v>
      </c>
      <c r="M202">
        <v>1</v>
      </c>
      <c r="N202">
        <v>1605</v>
      </c>
      <c r="O202">
        <v>2026</v>
      </c>
      <c r="P202" t="s">
        <v>25</v>
      </c>
      <c r="Q202">
        <v>1018284817</v>
      </c>
      <c r="R202">
        <v>521729</v>
      </c>
    </row>
    <row r="203" spans="1:18" x14ac:dyDescent="0.2">
      <c r="A203" t="s">
        <v>745</v>
      </c>
      <c r="B203" t="s">
        <v>25</v>
      </c>
      <c r="C203" t="s">
        <v>746</v>
      </c>
      <c r="D203" t="s">
        <v>747</v>
      </c>
      <c r="E203" t="s">
        <v>28</v>
      </c>
      <c r="F203" t="s">
        <v>22</v>
      </c>
      <c r="G203">
        <v>98103</v>
      </c>
      <c r="H203" s="1">
        <v>46056.158726851849</v>
      </c>
      <c r="I203" t="s">
        <v>229</v>
      </c>
      <c r="J203" t="s">
        <v>288</v>
      </c>
      <c r="K203" t="s">
        <v>748</v>
      </c>
      <c r="L203">
        <v>4</v>
      </c>
      <c r="M203">
        <v>1</v>
      </c>
      <c r="N203">
        <v>1540</v>
      </c>
      <c r="O203">
        <v>1930</v>
      </c>
      <c r="P203" t="s">
        <v>25</v>
      </c>
      <c r="Q203">
        <v>1018284868</v>
      </c>
      <c r="R203">
        <v>521727</v>
      </c>
    </row>
    <row r="204" spans="1:18" x14ac:dyDescent="0.2">
      <c r="A204" t="s">
        <v>749</v>
      </c>
      <c r="B204" t="s">
        <v>25</v>
      </c>
      <c r="C204" t="s">
        <v>25</v>
      </c>
      <c r="D204" t="s">
        <v>750</v>
      </c>
      <c r="E204" t="s">
        <v>751</v>
      </c>
      <c r="F204" t="s">
        <v>22</v>
      </c>
      <c r="G204">
        <v>98010</v>
      </c>
      <c r="H204" s="1">
        <v>46056.158726851849</v>
      </c>
      <c r="I204" t="s">
        <v>229</v>
      </c>
      <c r="J204" t="s">
        <v>288</v>
      </c>
      <c r="K204" t="s">
        <v>752</v>
      </c>
      <c r="L204">
        <v>4</v>
      </c>
      <c r="M204">
        <v>1</v>
      </c>
      <c r="N204">
        <v>2160</v>
      </c>
      <c r="O204">
        <v>2019</v>
      </c>
      <c r="P204" t="s">
        <v>25</v>
      </c>
      <c r="Q204">
        <v>1018284886</v>
      </c>
      <c r="R204">
        <v>521726</v>
      </c>
    </row>
    <row r="205" spans="1:18" x14ac:dyDescent="0.2">
      <c r="A205" t="s">
        <v>753</v>
      </c>
      <c r="B205" t="s">
        <v>25</v>
      </c>
      <c r="C205" t="s">
        <v>754</v>
      </c>
      <c r="D205" t="s">
        <v>755</v>
      </c>
      <c r="E205" t="s">
        <v>756</v>
      </c>
      <c r="F205" t="s">
        <v>22</v>
      </c>
      <c r="G205">
        <v>98264</v>
      </c>
      <c r="H205" s="1">
        <v>46056.158738425926</v>
      </c>
      <c r="I205" t="s">
        <v>229</v>
      </c>
      <c r="J205" t="s">
        <v>288</v>
      </c>
      <c r="K205" t="s">
        <v>757</v>
      </c>
      <c r="L205" t="s">
        <v>25</v>
      </c>
      <c r="M205" t="s">
        <v>25</v>
      </c>
      <c r="N205">
        <v>1600</v>
      </c>
      <c r="O205">
        <v>1987</v>
      </c>
      <c r="P205" t="s">
        <v>25</v>
      </c>
      <c r="Q205">
        <v>1018284971</v>
      </c>
      <c r="R205">
        <v>521725</v>
      </c>
    </row>
    <row r="206" spans="1:18" x14ac:dyDescent="0.2">
      <c r="A206" t="s">
        <v>298</v>
      </c>
      <c r="B206" t="s">
        <v>25</v>
      </c>
      <c r="C206" t="s">
        <v>25</v>
      </c>
      <c r="D206" t="s">
        <v>758</v>
      </c>
      <c r="E206" t="s">
        <v>228</v>
      </c>
      <c r="F206" t="s">
        <v>22</v>
      </c>
      <c r="G206">
        <v>98370</v>
      </c>
      <c r="H206" s="1">
        <v>46056.158738425926</v>
      </c>
      <c r="I206" t="s">
        <v>229</v>
      </c>
      <c r="J206" t="s">
        <v>288</v>
      </c>
      <c r="K206" t="s">
        <v>759</v>
      </c>
      <c r="L206">
        <v>3</v>
      </c>
      <c r="M206" t="s">
        <v>25</v>
      </c>
      <c r="N206">
        <v>1620</v>
      </c>
      <c r="O206">
        <v>1990</v>
      </c>
      <c r="P206" t="s">
        <v>25</v>
      </c>
      <c r="Q206">
        <v>1018284999</v>
      </c>
      <c r="R206">
        <v>521724</v>
      </c>
    </row>
    <row r="207" spans="1:18" x14ac:dyDescent="0.2">
      <c r="A207" t="s">
        <v>760</v>
      </c>
      <c r="B207" t="s">
        <v>25</v>
      </c>
      <c r="C207" t="s">
        <v>761</v>
      </c>
      <c r="D207" t="s">
        <v>762</v>
      </c>
      <c r="E207" t="s">
        <v>101</v>
      </c>
      <c r="F207" t="s">
        <v>22</v>
      </c>
      <c r="G207">
        <v>98087</v>
      </c>
      <c r="H207" s="1">
        <v>46056.158738425926</v>
      </c>
      <c r="I207" t="s">
        <v>229</v>
      </c>
      <c r="J207" t="s">
        <v>288</v>
      </c>
      <c r="K207" t="s">
        <v>763</v>
      </c>
      <c r="L207">
        <v>3</v>
      </c>
      <c r="M207">
        <v>2</v>
      </c>
      <c r="N207">
        <v>1332</v>
      </c>
      <c r="O207">
        <v>1999</v>
      </c>
      <c r="P207" t="s">
        <v>25</v>
      </c>
      <c r="Q207">
        <v>1018285012</v>
      </c>
      <c r="R207">
        <v>521723</v>
      </c>
    </row>
    <row r="208" spans="1:18" x14ac:dyDescent="0.2">
      <c r="A208" t="s">
        <v>764</v>
      </c>
      <c r="B208" t="s">
        <v>25</v>
      </c>
      <c r="C208" t="s">
        <v>765</v>
      </c>
      <c r="D208" t="s">
        <v>766</v>
      </c>
      <c r="E208" t="s">
        <v>581</v>
      </c>
      <c r="F208" t="s">
        <v>22</v>
      </c>
      <c r="G208">
        <v>98292</v>
      </c>
      <c r="H208" s="1">
        <v>46056.158738425926</v>
      </c>
      <c r="I208" t="s">
        <v>287</v>
      </c>
      <c r="J208" t="s">
        <v>288</v>
      </c>
      <c r="K208" t="s">
        <v>767</v>
      </c>
      <c r="L208">
        <v>4</v>
      </c>
      <c r="M208">
        <v>2</v>
      </c>
      <c r="N208">
        <v>2806</v>
      </c>
      <c r="O208">
        <v>2002</v>
      </c>
      <c r="P208" t="s">
        <v>25</v>
      </c>
      <c r="Q208">
        <v>1018285067</v>
      </c>
      <c r="R208">
        <v>521722</v>
      </c>
    </row>
    <row r="209" spans="1:18" x14ac:dyDescent="0.2">
      <c r="A209" t="s">
        <v>768</v>
      </c>
      <c r="B209" t="s">
        <v>25</v>
      </c>
      <c r="C209" t="s">
        <v>769</v>
      </c>
      <c r="D209" t="s">
        <v>770</v>
      </c>
      <c r="E209" t="s">
        <v>28</v>
      </c>
      <c r="F209" t="s">
        <v>22</v>
      </c>
      <c r="G209">
        <v>98199</v>
      </c>
      <c r="H209" s="1">
        <v>46056.158738425926</v>
      </c>
      <c r="I209" t="s">
        <v>287</v>
      </c>
      <c r="J209" t="s">
        <v>288</v>
      </c>
      <c r="K209" t="s">
        <v>771</v>
      </c>
      <c r="L209">
        <v>5</v>
      </c>
      <c r="M209">
        <v>2</v>
      </c>
      <c r="N209">
        <v>3750</v>
      </c>
      <c r="O209">
        <v>1936</v>
      </c>
      <c r="P209" t="s">
        <v>25</v>
      </c>
      <c r="Q209">
        <v>1018285116</v>
      </c>
      <c r="R209">
        <v>521721</v>
      </c>
    </row>
    <row r="210" spans="1:18" x14ac:dyDescent="0.2">
      <c r="A210" t="s">
        <v>772</v>
      </c>
      <c r="B210" t="s">
        <v>25</v>
      </c>
      <c r="C210" t="s">
        <v>773</v>
      </c>
      <c r="D210" t="s">
        <v>774</v>
      </c>
      <c r="E210" t="s">
        <v>88</v>
      </c>
      <c r="F210" t="s">
        <v>22</v>
      </c>
      <c r="G210">
        <v>98277</v>
      </c>
      <c r="H210" s="1">
        <v>46056.158738425926</v>
      </c>
      <c r="I210" t="s">
        <v>287</v>
      </c>
      <c r="J210" t="s">
        <v>288</v>
      </c>
      <c r="K210" t="s">
        <v>775</v>
      </c>
      <c r="L210">
        <v>3</v>
      </c>
      <c r="M210">
        <v>1</v>
      </c>
      <c r="N210">
        <v>2540</v>
      </c>
      <c r="O210">
        <v>1993</v>
      </c>
      <c r="P210" t="s">
        <v>25</v>
      </c>
      <c r="Q210">
        <v>1018285149</v>
      </c>
      <c r="R210">
        <v>521719</v>
      </c>
    </row>
    <row r="211" spans="1:18" x14ac:dyDescent="0.2">
      <c r="A211" t="s">
        <v>776</v>
      </c>
      <c r="B211" t="s">
        <v>25</v>
      </c>
      <c r="C211" t="s">
        <v>777</v>
      </c>
      <c r="D211" t="s">
        <v>778</v>
      </c>
      <c r="E211" t="s">
        <v>247</v>
      </c>
      <c r="F211" t="s">
        <v>22</v>
      </c>
      <c r="G211">
        <v>98569</v>
      </c>
      <c r="H211" s="1">
        <v>46056.158738425926</v>
      </c>
      <c r="I211" t="s">
        <v>287</v>
      </c>
      <c r="J211" t="s">
        <v>288</v>
      </c>
      <c r="K211" t="s">
        <v>779</v>
      </c>
      <c r="L211">
        <v>2</v>
      </c>
      <c r="M211">
        <v>0</v>
      </c>
      <c r="N211">
        <v>1040</v>
      </c>
      <c r="O211">
        <v>2004</v>
      </c>
      <c r="P211" t="s">
        <v>25</v>
      </c>
      <c r="Q211">
        <v>1018285141</v>
      </c>
      <c r="R211">
        <v>521720</v>
      </c>
    </row>
    <row r="212" spans="1:18" x14ac:dyDescent="0.2">
      <c r="A212" t="s">
        <v>241</v>
      </c>
      <c r="B212" t="s">
        <v>25</v>
      </c>
      <c r="C212" t="s">
        <v>25</v>
      </c>
      <c r="D212" t="s">
        <v>780</v>
      </c>
      <c r="E212" t="s">
        <v>113</v>
      </c>
      <c r="F212" t="s">
        <v>22</v>
      </c>
      <c r="G212">
        <v>98203</v>
      </c>
      <c r="H212" s="1">
        <v>46056.158750000002</v>
      </c>
      <c r="I212" t="s">
        <v>287</v>
      </c>
      <c r="J212" t="s">
        <v>288</v>
      </c>
      <c r="K212" t="s">
        <v>781</v>
      </c>
      <c r="L212">
        <v>4</v>
      </c>
      <c r="M212">
        <v>2</v>
      </c>
      <c r="N212">
        <v>1758</v>
      </c>
      <c r="O212">
        <v>2025</v>
      </c>
      <c r="P212" t="s">
        <v>25</v>
      </c>
      <c r="Q212">
        <v>1018285177</v>
      </c>
      <c r="R212">
        <v>521717</v>
      </c>
    </row>
    <row r="213" spans="1:18" x14ac:dyDescent="0.2">
      <c r="A213" t="s">
        <v>782</v>
      </c>
      <c r="B213" t="s">
        <v>25</v>
      </c>
      <c r="C213" t="s">
        <v>783</v>
      </c>
      <c r="D213" t="s">
        <v>784</v>
      </c>
      <c r="E213" t="s">
        <v>547</v>
      </c>
      <c r="F213" t="s">
        <v>22</v>
      </c>
      <c r="G213">
        <v>98033</v>
      </c>
      <c r="H213" s="1">
        <v>46056.158750000002</v>
      </c>
      <c r="I213" t="s">
        <v>287</v>
      </c>
      <c r="J213" t="s">
        <v>288</v>
      </c>
      <c r="K213" t="s">
        <v>785</v>
      </c>
      <c r="L213" t="s">
        <v>25</v>
      </c>
      <c r="M213" t="s">
        <v>25</v>
      </c>
      <c r="N213">
        <v>0</v>
      </c>
      <c r="O213" t="s">
        <v>25</v>
      </c>
      <c r="P213" t="s">
        <v>25</v>
      </c>
      <c r="Q213">
        <v>1018285171</v>
      </c>
      <c r="R213">
        <v>521718</v>
      </c>
    </row>
    <row r="214" spans="1:18" x14ac:dyDescent="0.2">
      <c r="A214" t="s">
        <v>786</v>
      </c>
      <c r="B214" t="s">
        <v>25</v>
      </c>
      <c r="C214" t="s">
        <v>25</v>
      </c>
      <c r="D214" t="s">
        <v>787</v>
      </c>
      <c r="E214" t="s">
        <v>106</v>
      </c>
      <c r="F214" t="s">
        <v>22</v>
      </c>
      <c r="G214">
        <v>98006</v>
      </c>
      <c r="H214" s="1">
        <v>46056.158750000002</v>
      </c>
      <c r="I214" t="s">
        <v>287</v>
      </c>
      <c r="J214" t="s">
        <v>288</v>
      </c>
      <c r="K214" t="s">
        <v>788</v>
      </c>
      <c r="L214">
        <v>5</v>
      </c>
      <c r="M214">
        <v>3</v>
      </c>
      <c r="N214">
        <v>5759</v>
      </c>
      <c r="O214">
        <v>2025</v>
      </c>
      <c r="P214" t="s">
        <v>25</v>
      </c>
      <c r="Q214">
        <v>1018285195</v>
      </c>
      <c r="R214">
        <v>521716</v>
      </c>
    </row>
    <row r="215" spans="1:18" x14ac:dyDescent="0.2">
      <c r="A215" t="s">
        <v>789</v>
      </c>
      <c r="B215" t="s">
        <v>25</v>
      </c>
      <c r="C215" t="s">
        <v>790</v>
      </c>
      <c r="D215" t="s">
        <v>791</v>
      </c>
      <c r="E215" t="s">
        <v>304</v>
      </c>
      <c r="F215" t="s">
        <v>22</v>
      </c>
      <c r="G215">
        <v>98002</v>
      </c>
      <c r="H215" s="1">
        <v>46056.158750000002</v>
      </c>
      <c r="I215" t="s">
        <v>287</v>
      </c>
      <c r="J215" t="s">
        <v>288</v>
      </c>
      <c r="K215" t="s">
        <v>792</v>
      </c>
      <c r="L215">
        <v>2</v>
      </c>
      <c r="M215">
        <v>2</v>
      </c>
      <c r="N215">
        <v>1251</v>
      </c>
      <c r="O215">
        <v>2008</v>
      </c>
      <c r="P215" t="s">
        <v>25</v>
      </c>
      <c r="Q215">
        <v>1018285201</v>
      </c>
      <c r="R215">
        <v>521715</v>
      </c>
    </row>
    <row r="216" spans="1:18" x14ac:dyDescent="0.2">
      <c r="A216" t="s">
        <v>793</v>
      </c>
      <c r="B216" t="str">
        <f>HYPERLINK("tel:2533474599", "2533474599")</f>
        <v>2533474599</v>
      </c>
      <c r="C216" t="s">
        <v>25</v>
      </c>
      <c r="D216" t="s">
        <v>794</v>
      </c>
      <c r="E216" t="s">
        <v>28</v>
      </c>
      <c r="F216" t="s">
        <v>22</v>
      </c>
      <c r="G216">
        <v>98122</v>
      </c>
      <c r="H216" s="1">
        <v>46055.136550925927</v>
      </c>
      <c r="I216" t="s">
        <v>29</v>
      </c>
      <c r="J216" t="s">
        <v>30</v>
      </c>
      <c r="K216" t="s">
        <v>795</v>
      </c>
      <c r="L216">
        <v>2</v>
      </c>
      <c r="M216">
        <v>2</v>
      </c>
      <c r="N216">
        <v>1020</v>
      </c>
      <c r="O216" t="s">
        <v>25</v>
      </c>
      <c r="P216" t="s">
        <v>25</v>
      </c>
      <c r="Q216">
        <v>1017919641</v>
      </c>
      <c r="R216">
        <v>521514</v>
      </c>
    </row>
    <row r="217" spans="1:18" x14ac:dyDescent="0.2">
      <c r="A217" t="s">
        <v>796</v>
      </c>
      <c r="B217" t="str">
        <f>HYPERLINK("tel:2532673363", "2532673363")</f>
        <v>2532673363</v>
      </c>
      <c r="C217" t="s">
        <v>797</v>
      </c>
      <c r="D217" t="s">
        <v>798</v>
      </c>
      <c r="E217" t="s">
        <v>28</v>
      </c>
      <c r="F217" t="s">
        <v>22</v>
      </c>
      <c r="G217">
        <v>98107</v>
      </c>
      <c r="H217" s="1">
        <v>46055.136550925927</v>
      </c>
      <c r="I217" t="s">
        <v>29</v>
      </c>
      <c r="J217" t="s">
        <v>30</v>
      </c>
      <c r="K217" t="s">
        <v>799</v>
      </c>
      <c r="L217">
        <v>1</v>
      </c>
      <c r="M217">
        <v>1</v>
      </c>
      <c r="N217">
        <v>488</v>
      </c>
      <c r="O217">
        <v>2007</v>
      </c>
      <c r="P217" t="s">
        <v>25</v>
      </c>
      <c r="Q217">
        <v>1017919662</v>
      </c>
      <c r="R217">
        <v>521512</v>
      </c>
    </row>
    <row r="218" spans="1:18" x14ac:dyDescent="0.2">
      <c r="A218" t="s">
        <v>800</v>
      </c>
      <c r="B218" t="str">
        <f>HYPERLINK("tel:2065491610", "2065491610")</f>
        <v>2065491610</v>
      </c>
      <c r="C218" t="s">
        <v>801</v>
      </c>
      <c r="D218" t="s">
        <v>802</v>
      </c>
      <c r="E218" t="s">
        <v>304</v>
      </c>
      <c r="F218" t="s">
        <v>22</v>
      </c>
      <c r="G218">
        <v>98092</v>
      </c>
      <c r="H218" s="1">
        <v>46055.136550925927</v>
      </c>
      <c r="I218" t="s">
        <v>29</v>
      </c>
      <c r="J218" t="s">
        <v>30</v>
      </c>
      <c r="K218" t="s">
        <v>803</v>
      </c>
      <c r="L218">
        <v>5</v>
      </c>
      <c r="M218">
        <v>3</v>
      </c>
      <c r="N218">
        <v>2640</v>
      </c>
      <c r="O218">
        <v>1999</v>
      </c>
      <c r="P218" t="s">
        <v>25</v>
      </c>
      <c r="Q218">
        <v>1017919649</v>
      </c>
      <c r="R218">
        <v>521513</v>
      </c>
    </row>
    <row r="219" spans="1:18" x14ac:dyDescent="0.2">
      <c r="A219" t="s">
        <v>804</v>
      </c>
      <c r="B219" t="str">
        <f>HYPERLINK("tel:2067930844", "2067930844")</f>
        <v>2067930844</v>
      </c>
      <c r="C219" t="s">
        <v>805</v>
      </c>
      <c r="D219" t="s">
        <v>806</v>
      </c>
      <c r="E219" t="s">
        <v>134</v>
      </c>
      <c r="F219" t="s">
        <v>22</v>
      </c>
      <c r="G219">
        <v>98012</v>
      </c>
      <c r="H219" s="1">
        <v>46055.136550925927</v>
      </c>
      <c r="I219" t="s">
        <v>29</v>
      </c>
      <c r="J219" t="s">
        <v>30</v>
      </c>
      <c r="K219" t="s">
        <v>807</v>
      </c>
      <c r="L219">
        <v>3</v>
      </c>
      <c r="M219">
        <v>2</v>
      </c>
      <c r="N219">
        <v>1235</v>
      </c>
      <c r="O219">
        <v>1998</v>
      </c>
      <c r="P219" t="s">
        <v>25</v>
      </c>
      <c r="Q219">
        <v>1017919673</v>
      </c>
      <c r="R219">
        <v>521511</v>
      </c>
    </row>
    <row r="220" spans="1:18" x14ac:dyDescent="0.2">
      <c r="A220" t="s">
        <v>82</v>
      </c>
      <c r="B220" t="s">
        <v>25</v>
      </c>
      <c r="C220" t="s">
        <v>25</v>
      </c>
      <c r="D220" t="s">
        <v>808</v>
      </c>
      <c r="E220" t="s">
        <v>547</v>
      </c>
      <c r="F220" t="s">
        <v>22</v>
      </c>
      <c r="G220">
        <v>98034</v>
      </c>
      <c r="H220" s="1">
        <v>46055.136550925927</v>
      </c>
      <c r="I220" t="s">
        <v>29</v>
      </c>
      <c r="J220" t="s">
        <v>30</v>
      </c>
      <c r="K220" t="s">
        <v>809</v>
      </c>
      <c r="L220">
        <v>3</v>
      </c>
      <c r="M220">
        <v>2</v>
      </c>
      <c r="N220">
        <v>1180</v>
      </c>
      <c r="O220">
        <v>1972</v>
      </c>
      <c r="P220" t="s">
        <v>25</v>
      </c>
      <c r="Q220">
        <v>1017919688</v>
      </c>
      <c r="R220">
        <v>521509</v>
      </c>
    </row>
    <row r="221" spans="1:18" x14ac:dyDescent="0.2">
      <c r="A221" t="s">
        <v>810</v>
      </c>
      <c r="B221" t="str">
        <f>HYPERLINK("tel:2066046401", "2066046401")</f>
        <v>2066046401</v>
      </c>
      <c r="C221" t="s">
        <v>25</v>
      </c>
      <c r="D221" t="s">
        <v>811</v>
      </c>
      <c r="E221" t="s">
        <v>547</v>
      </c>
      <c r="F221" t="s">
        <v>22</v>
      </c>
      <c r="G221">
        <v>98034</v>
      </c>
      <c r="H221" s="1">
        <v>46055.136550925927</v>
      </c>
      <c r="I221" t="s">
        <v>29</v>
      </c>
      <c r="J221" t="s">
        <v>30</v>
      </c>
      <c r="K221" t="s">
        <v>812</v>
      </c>
      <c r="L221">
        <v>2</v>
      </c>
      <c r="M221">
        <v>1</v>
      </c>
      <c r="N221">
        <v>992</v>
      </c>
      <c r="O221" t="s">
        <v>25</v>
      </c>
      <c r="P221" t="s">
        <v>25</v>
      </c>
      <c r="Q221">
        <v>1017919680</v>
      </c>
      <c r="R221">
        <v>521510</v>
      </c>
    </row>
    <row r="222" spans="1:18" x14ac:dyDescent="0.2">
      <c r="A222" t="s">
        <v>82</v>
      </c>
      <c r="B222" t="s">
        <v>25</v>
      </c>
      <c r="C222" t="s">
        <v>25</v>
      </c>
      <c r="D222" t="s">
        <v>813</v>
      </c>
      <c r="E222" t="s">
        <v>28</v>
      </c>
      <c r="F222" t="s">
        <v>22</v>
      </c>
      <c r="G222">
        <v>98122</v>
      </c>
      <c r="H222" s="1">
        <v>46055.136550925927</v>
      </c>
      <c r="I222" t="s">
        <v>29</v>
      </c>
      <c r="J222" t="s">
        <v>30</v>
      </c>
      <c r="K222" t="s">
        <v>814</v>
      </c>
      <c r="L222">
        <v>1</v>
      </c>
      <c r="M222">
        <v>1</v>
      </c>
      <c r="N222">
        <v>750</v>
      </c>
      <c r="O222" t="s">
        <v>25</v>
      </c>
      <c r="P222" t="s">
        <v>25</v>
      </c>
      <c r="Q222">
        <v>1017919710</v>
      </c>
      <c r="R222">
        <v>521507</v>
      </c>
    </row>
    <row r="223" spans="1:18" x14ac:dyDescent="0.2">
      <c r="A223" t="s">
        <v>815</v>
      </c>
      <c r="B223" t="str">
        <f>HYPERLINK("tel:2063548046", "2063548046")</f>
        <v>2063548046</v>
      </c>
      <c r="C223" t="s">
        <v>816</v>
      </c>
      <c r="D223" t="s">
        <v>817</v>
      </c>
      <c r="E223" t="s">
        <v>126</v>
      </c>
      <c r="F223" t="s">
        <v>22</v>
      </c>
      <c r="G223">
        <v>98337</v>
      </c>
      <c r="H223" s="1">
        <v>46055.136550925927</v>
      </c>
      <c r="I223" t="s">
        <v>29</v>
      </c>
      <c r="J223" t="s">
        <v>30</v>
      </c>
      <c r="K223" t="s">
        <v>818</v>
      </c>
      <c r="L223">
        <v>3</v>
      </c>
      <c r="M223">
        <v>2</v>
      </c>
      <c r="N223">
        <v>1326</v>
      </c>
      <c r="O223">
        <v>1937</v>
      </c>
      <c r="P223" t="s">
        <v>25</v>
      </c>
      <c r="Q223">
        <v>1017919696</v>
      </c>
      <c r="R223">
        <v>521508</v>
      </c>
    </row>
    <row r="224" spans="1:18" x14ac:dyDescent="0.2">
      <c r="A224" t="s">
        <v>819</v>
      </c>
      <c r="B224" t="str">
        <f>HYPERLINK("tel:2532405112", "2532405112")</f>
        <v>2532405112</v>
      </c>
      <c r="C224" t="s">
        <v>820</v>
      </c>
      <c r="D224" t="s">
        <v>821</v>
      </c>
      <c r="E224" t="s">
        <v>692</v>
      </c>
      <c r="F224" t="s">
        <v>22</v>
      </c>
      <c r="G224">
        <v>98327</v>
      </c>
      <c r="H224" s="1">
        <v>46055.136550925927</v>
      </c>
      <c r="I224" t="s">
        <v>29</v>
      </c>
      <c r="J224" t="s">
        <v>30</v>
      </c>
      <c r="K224" t="s">
        <v>822</v>
      </c>
      <c r="L224">
        <v>3</v>
      </c>
      <c r="M224">
        <v>3</v>
      </c>
      <c r="N224">
        <v>1450</v>
      </c>
      <c r="O224">
        <v>1997</v>
      </c>
      <c r="P224" t="s">
        <v>25</v>
      </c>
      <c r="Q224">
        <v>1017919725</v>
      </c>
      <c r="R224">
        <v>521505</v>
      </c>
    </row>
    <row r="225" spans="1:18" x14ac:dyDescent="0.2">
      <c r="A225" t="s">
        <v>823</v>
      </c>
      <c r="B225" t="str">
        <f>HYPERLINK("tel:2534322063", "2534322063")</f>
        <v>2534322063</v>
      </c>
      <c r="C225" t="s">
        <v>824</v>
      </c>
      <c r="D225" t="s">
        <v>825</v>
      </c>
      <c r="E225" t="s">
        <v>826</v>
      </c>
      <c r="F225" t="s">
        <v>22</v>
      </c>
      <c r="G225">
        <v>98367</v>
      </c>
      <c r="H225" s="1">
        <v>46055.136550925927</v>
      </c>
      <c r="I225" t="s">
        <v>29</v>
      </c>
      <c r="J225" t="s">
        <v>30</v>
      </c>
      <c r="K225" t="s">
        <v>827</v>
      </c>
      <c r="L225">
        <v>3</v>
      </c>
      <c r="M225">
        <v>2</v>
      </c>
      <c r="N225">
        <v>1270</v>
      </c>
      <c r="O225">
        <v>2000</v>
      </c>
      <c r="P225" t="s">
        <v>25</v>
      </c>
      <c r="Q225">
        <v>1017919715</v>
      </c>
      <c r="R225">
        <v>521506</v>
      </c>
    </row>
    <row r="226" spans="1:18" x14ac:dyDescent="0.2">
      <c r="A226" t="s">
        <v>828</v>
      </c>
      <c r="B226" t="str">
        <f>HYPERLINK("tel:2063802365", "2063802365")</f>
        <v>2063802365</v>
      </c>
      <c r="C226" t="s">
        <v>25</v>
      </c>
      <c r="D226" t="s">
        <v>829</v>
      </c>
      <c r="E226" t="s">
        <v>28</v>
      </c>
      <c r="F226" t="s">
        <v>22</v>
      </c>
      <c r="G226">
        <v>98118</v>
      </c>
      <c r="H226" s="1">
        <v>46055.136550925927</v>
      </c>
      <c r="I226" t="s">
        <v>29</v>
      </c>
      <c r="J226" t="s">
        <v>30</v>
      </c>
      <c r="K226" t="s">
        <v>830</v>
      </c>
      <c r="L226">
        <v>4</v>
      </c>
      <c r="M226">
        <v>3</v>
      </c>
      <c r="N226">
        <v>3100</v>
      </c>
      <c r="O226" t="s">
        <v>25</v>
      </c>
      <c r="P226" t="s">
        <v>25</v>
      </c>
      <c r="Q226">
        <v>1017919750</v>
      </c>
      <c r="R226">
        <v>521503</v>
      </c>
    </row>
    <row r="227" spans="1:18" x14ac:dyDescent="0.2">
      <c r="A227" t="s">
        <v>831</v>
      </c>
      <c r="B227" t="s">
        <v>25</v>
      </c>
      <c r="C227" t="s">
        <v>25</v>
      </c>
      <c r="D227" t="s">
        <v>832</v>
      </c>
      <c r="E227" t="s">
        <v>300</v>
      </c>
      <c r="F227" t="s">
        <v>22</v>
      </c>
      <c r="G227">
        <v>98368</v>
      </c>
      <c r="H227" s="1">
        <v>46055.136550925927</v>
      </c>
      <c r="I227" t="s">
        <v>29</v>
      </c>
      <c r="J227" t="s">
        <v>30</v>
      </c>
      <c r="K227" t="s">
        <v>833</v>
      </c>
      <c r="L227">
        <v>2</v>
      </c>
      <c r="M227">
        <v>1</v>
      </c>
      <c r="N227">
        <v>1060</v>
      </c>
      <c r="O227">
        <v>1996</v>
      </c>
      <c r="P227" t="s">
        <v>25</v>
      </c>
      <c r="Q227">
        <v>1017919742</v>
      </c>
      <c r="R227">
        <v>521504</v>
      </c>
    </row>
    <row r="228" spans="1:18" x14ac:dyDescent="0.2">
      <c r="A228" t="s">
        <v>834</v>
      </c>
      <c r="B228" t="str">
        <f>HYPERLINK("tel:2063103359", "2063103359")</f>
        <v>2063103359</v>
      </c>
      <c r="C228" t="s">
        <v>835</v>
      </c>
      <c r="D228" t="s">
        <v>836</v>
      </c>
      <c r="E228" t="s">
        <v>837</v>
      </c>
      <c r="F228" t="s">
        <v>22</v>
      </c>
      <c r="G228">
        <v>98198</v>
      </c>
      <c r="H228" s="1">
        <v>46055.136550925927</v>
      </c>
      <c r="I228" t="s">
        <v>29</v>
      </c>
      <c r="J228" t="s">
        <v>30</v>
      </c>
      <c r="K228" t="s">
        <v>838</v>
      </c>
      <c r="L228">
        <v>4</v>
      </c>
      <c r="M228">
        <v>1</v>
      </c>
      <c r="N228">
        <v>1350</v>
      </c>
      <c r="O228">
        <v>1942</v>
      </c>
      <c r="P228" t="s">
        <v>25</v>
      </c>
      <c r="Q228">
        <v>1017919764</v>
      </c>
      <c r="R228">
        <v>521501</v>
      </c>
    </row>
    <row r="229" spans="1:18" x14ac:dyDescent="0.2">
      <c r="A229" t="s">
        <v>839</v>
      </c>
      <c r="B229" t="str">
        <f>HYPERLINK("tel:2533129774", "2533129774")</f>
        <v>2533129774</v>
      </c>
      <c r="C229" t="s">
        <v>840</v>
      </c>
      <c r="D229" t="s">
        <v>841</v>
      </c>
      <c r="E229" t="s">
        <v>39</v>
      </c>
      <c r="F229" t="s">
        <v>22</v>
      </c>
      <c r="G229">
        <v>98403</v>
      </c>
      <c r="H229" s="1">
        <v>46055.136550925927</v>
      </c>
      <c r="I229" t="s">
        <v>29</v>
      </c>
      <c r="J229" t="s">
        <v>30</v>
      </c>
      <c r="K229" t="s">
        <v>842</v>
      </c>
      <c r="L229">
        <v>2</v>
      </c>
      <c r="M229">
        <v>1</v>
      </c>
      <c r="N229">
        <v>884</v>
      </c>
      <c r="O229">
        <v>2007</v>
      </c>
      <c r="P229" t="s">
        <v>25</v>
      </c>
      <c r="Q229">
        <v>1017919755</v>
      </c>
      <c r="R229">
        <v>521502</v>
      </c>
    </row>
    <row r="230" spans="1:18" x14ac:dyDescent="0.2">
      <c r="A230" t="s">
        <v>843</v>
      </c>
      <c r="B230" t="str">
        <f>HYPERLINK("tel:4156195908", "4156195908")</f>
        <v>4156195908</v>
      </c>
      <c r="C230" t="s">
        <v>25</v>
      </c>
      <c r="D230" t="s">
        <v>844</v>
      </c>
      <c r="E230" t="s">
        <v>28</v>
      </c>
      <c r="F230" t="s">
        <v>22</v>
      </c>
      <c r="G230">
        <v>98115</v>
      </c>
      <c r="H230" s="1">
        <v>46055.136550925927</v>
      </c>
      <c r="I230" t="s">
        <v>29</v>
      </c>
      <c r="J230" t="s">
        <v>30</v>
      </c>
      <c r="K230" t="s">
        <v>845</v>
      </c>
      <c r="L230">
        <v>4</v>
      </c>
      <c r="M230">
        <v>2</v>
      </c>
      <c r="N230">
        <v>1630</v>
      </c>
      <c r="O230">
        <v>1907</v>
      </c>
      <c r="P230" t="s">
        <v>25</v>
      </c>
      <c r="Q230">
        <v>1017919780</v>
      </c>
      <c r="R230">
        <v>521499</v>
      </c>
    </row>
    <row r="231" spans="1:18" x14ac:dyDescent="0.2">
      <c r="A231" t="s">
        <v>846</v>
      </c>
      <c r="B231" t="str">
        <f>HYPERLINK("tel:2062717838", "2062717838")</f>
        <v>2062717838</v>
      </c>
      <c r="C231" t="s">
        <v>25</v>
      </c>
      <c r="D231" t="s">
        <v>847</v>
      </c>
      <c r="E231" t="s">
        <v>547</v>
      </c>
      <c r="F231" t="s">
        <v>22</v>
      </c>
      <c r="G231">
        <v>98034</v>
      </c>
      <c r="H231" s="1">
        <v>46055.136550925927</v>
      </c>
      <c r="I231" t="s">
        <v>29</v>
      </c>
      <c r="J231" t="s">
        <v>30</v>
      </c>
      <c r="K231" t="s">
        <v>848</v>
      </c>
      <c r="L231">
        <v>1</v>
      </c>
      <c r="M231">
        <v>1</v>
      </c>
      <c r="N231">
        <v>681</v>
      </c>
      <c r="O231" t="s">
        <v>25</v>
      </c>
      <c r="P231" t="s">
        <v>25</v>
      </c>
      <c r="Q231">
        <v>1017919774</v>
      </c>
      <c r="R231">
        <v>521500</v>
      </c>
    </row>
    <row r="232" spans="1:18" x14ac:dyDescent="0.2">
      <c r="A232" t="s">
        <v>849</v>
      </c>
      <c r="B232" t="str">
        <f>HYPERLINK("tel:2063486855", "2063486855")</f>
        <v>2063486855</v>
      </c>
      <c r="C232" t="s">
        <v>25</v>
      </c>
      <c r="D232" t="s">
        <v>850</v>
      </c>
      <c r="E232" t="s">
        <v>28</v>
      </c>
      <c r="F232" t="s">
        <v>22</v>
      </c>
      <c r="G232">
        <v>98109</v>
      </c>
      <c r="H232" s="1">
        <v>46055.136562500003</v>
      </c>
      <c r="I232" t="s">
        <v>29</v>
      </c>
      <c r="J232" t="s">
        <v>30</v>
      </c>
      <c r="K232" t="s">
        <v>851</v>
      </c>
      <c r="L232">
        <v>1</v>
      </c>
      <c r="M232">
        <v>1</v>
      </c>
      <c r="N232">
        <v>748</v>
      </c>
      <c r="O232" t="s">
        <v>25</v>
      </c>
      <c r="P232" t="s">
        <v>25</v>
      </c>
      <c r="Q232">
        <v>1017919786</v>
      </c>
      <c r="R232">
        <v>521498</v>
      </c>
    </row>
    <row r="233" spans="1:18" x14ac:dyDescent="0.2">
      <c r="A233" t="s">
        <v>852</v>
      </c>
      <c r="B233" t="str">
        <f>HYPERLINK("tel:2067308460", "2067308460")</f>
        <v>2067308460</v>
      </c>
      <c r="C233" t="s">
        <v>25</v>
      </c>
      <c r="D233" t="s">
        <v>853</v>
      </c>
      <c r="E233" t="s">
        <v>547</v>
      </c>
      <c r="F233" t="s">
        <v>22</v>
      </c>
      <c r="G233">
        <v>98033</v>
      </c>
      <c r="H233" s="1">
        <v>46055.136562500003</v>
      </c>
      <c r="I233" t="s">
        <v>29</v>
      </c>
      <c r="J233" t="s">
        <v>30</v>
      </c>
      <c r="K233" t="s">
        <v>854</v>
      </c>
      <c r="L233">
        <v>2</v>
      </c>
      <c r="M233">
        <v>2</v>
      </c>
      <c r="N233">
        <v>1200</v>
      </c>
      <c r="O233" t="s">
        <v>25</v>
      </c>
      <c r="P233" t="s">
        <v>25</v>
      </c>
      <c r="Q233">
        <v>1017919797</v>
      </c>
      <c r="R233">
        <v>521496</v>
      </c>
    </row>
    <row r="234" spans="1:18" x14ac:dyDescent="0.2">
      <c r="A234" t="s">
        <v>855</v>
      </c>
      <c r="B234" t="str">
        <f>HYPERLINK("tel:2069391068", "2069391068")</f>
        <v>2069391068</v>
      </c>
      <c r="C234" t="s">
        <v>25</v>
      </c>
      <c r="D234" t="s">
        <v>856</v>
      </c>
      <c r="E234" t="s">
        <v>464</v>
      </c>
      <c r="F234" t="s">
        <v>22</v>
      </c>
      <c r="G234">
        <v>98332</v>
      </c>
      <c r="H234" s="1">
        <v>46055.136562500003</v>
      </c>
      <c r="I234" t="s">
        <v>29</v>
      </c>
      <c r="J234" t="s">
        <v>30</v>
      </c>
      <c r="K234" t="s">
        <v>857</v>
      </c>
      <c r="L234">
        <v>4</v>
      </c>
      <c r="M234">
        <v>3</v>
      </c>
      <c r="N234">
        <v>2373</v>
      </c>
      <c r="O234">
        <v>2018</v>
      </c>
      <c r="P234" t="s">
        <v>25</v>
      </c>
      <c r="Q234">
        <v>1017919791</v>
      </c>
      <c r="R234">
        <v>521497</v>
      </c>
    </row>
    <row r="235" spans="1:18" x14ac:dyDescent="0.2">
      <c r="A235" t="s">
        <v>858</v>
      </c>
      <c r="B235" t="str">
        <f>HYPERLINK("tel:4143085489", "4143085489")</f>
        <v>4143085489</v>
      </c>
      <c r="C235" t="s">
        <v>25</v>
      </c>
      <c r="D235" t="s">
        <v>859</v>
      </c>
      <c r="E235" t="s">
        <v>547</v>
      </c>
      <c r="F235" t="s">
        <v>22</v>
      </c>
      <c r="G235">
        <v>98033</v>
      </c>
      <c r="H235" s="1">
        <v>46055.136562500003</v>
      </c>
      <c r="I235" t="s">
        <v>29</v>
      </c>
      <c r="J235" t="s">
        <v>30</v>
      </c>
      <c r="K235" t="s">
        <v>860</v>
      </c>
      <c r="L235">
        <v>4</v>
      </c>
      <c r="M235">
        <v>3</v>
      </c>
      <c r="N235">
        <v>2420</v>
      </c>
      <c r="O235">
        <v>2005</v>
      </c>
      <c r="P235" t="s">
        <v>25</v>
      </c>
      <c r="Q235">
        <v>1017919811</v>
      </c>
      <c r="R235">
        <v>521494</v>
      </c>
    </row>
    <row r="236" spans="1:18" x14ac:dyDescent="0.2">
      <c r="A236" t="s">
        <v>861</v>
      </c>
      <c r="B236" t="str">
        <f>HYPERLINK("tel:2067083012", "2067083012")</f>
        <v>2067083012</v>
      </c>
      <c r="C236" t="s">
        <v>25</v>
      </c>
      <c r="D236" t="s">
        <v>862</v>
      </c>
      <c r="E236" t="s">
        <v>187</v>
      </c>
      <c r="F236" t="s">
        <v>22</v>
      </c>
      <c r="G236">
        <v>98056</v>
      </c>
      <c r="H236" s="1">
        <v>46055.136562500003</v>
      </c>
      <c r="I236" t="s">
        <v>29</v>
      </c>
      <c r="J236" t="s">
        <v>30</v>
      </c>
      <c r="K236" t="s">
        <v>863</v>
      </c>
      <c r="L236">
        <v>4</v>
      </c>
      <c r="M236">
        <v>1</v>
      </c>
      <c r="N236">
        <v>1540</v>
      </c>
      <c r="O236">
        <v>1953</v>
      </c>
      <c r="P236" t="s">
        <v>25</v>
      </c>
      <c r="Q236">
        <v>1017919803</v>
      </c>
      <c r="R236">
        <v>521495</v>
      </c>
    </row>
    <row r="237" spans="1:18" x14ac:dyDescent="0.2">
      <c r="A237" t="s">
        <v>864</v>
      </c>
      <c r="B237" t="str">
        <f>HYPERLINK("tel:5414904907", "5414904907")</f>
        <v>5414904907</v>
      </c>
      <c r="C237" t="s">
        <v>865</v>
      </c>
      <c r="D237" t="s">
        <v>866</v>
      </c>
      <c r="E237" t="s">
        <v>149</v>
      </c>
      <c r="F237" t="s">
        <v>22</v>
      </c>
      <c r="G237">
        <v>98075</v>
      </c>
      <c r="H237" s="1">
        <v>46055.136562500003</v>
      </c>
      <c r="I237" t="s">
        <v>29</v>
      </c>
      <c r="J237" t="s">
        <v>30</v>
      </c>
      <c r="K237" t="s">
        <v>867</v>
      </c>
      <c r="L237">
        <v>4</v>
      </c>
      <c r="M237">
        <v>3</v>
      </c>
      <c r="N237">
        <v>1990</v>
      </c>
      <c r="O237">
        <v>1968</v>
      </c>
      <c r="P237" t="s">
        <v>25</v>
      </c>
      <c r="Q237">
        <v>1017919823</v>
      </c>
      <c r="R237">
        <v>521492</v>
      </c>
    </row>
    <row r="238" spans="1:18" x14ac:dyDescent="0.2">
      <c r="A238" t="s">
        <v>868</v>
      </c>
      <c r="B238" t="str">
        <f>HYPERLINK("tel:5102308549", "5102308549")</f>
        <v>5102308549</v>
      </c>
      <c r="C238" t="s">
        <v>869</v>
      </c>
      <c r="D238" t="s">
        <v>870</v>
      </c>
      <c r="E238" t="s">
        <v>28</v>
      </c>
      <c r="F238" t="s">
        <v>22</v>
      </c>
      <c r="G238">
        <v>98103</v>
      </c>
      <c r="H238" s="1">
        <v>46055.136562500003</v>
      </c>
      <c r="I238" t="s">
        <v>29</v>
      </c>
      <c r="J238" t="s">
        <v>30</v>
      </c>
      <c r="K238" t="s">
        <v>871</v>
      </c>
      <c r="L238">
        <v>3</v>
      </c>
      <c r="M238">
        <v>3</v>
      </c>
      <c r="N238">
        <v>1440</v>
      </c>
      <c r="O238" t="s">
        <v>25</v>
      </c>
      <c r="P238" t="s">
        <v>25</v>
      </c>
      <c r="Q238">
        <v>1017919816</v>
      </c>
      <c r="R238">
        <v>521493</v>
      </c>
    </row>
    <row r="239" spans="1:18" x14ac:dyDescent="0.2">
      <c r="A239" t="s">
        <v>872</v>
      </c>
      <c r="B239" t="str">
        <f>HYPERLINK("tel:4255987070", "4255987070")</f>
        <v>4255987070</v>
      </c>
      <c r="C239" t="s">
        <v>25</v>
      </c>
      <c r="D239" t="s">
        <v>873</v>
      </c>
      <c r="E239" t="s">
        <v>113</v>
      </c>
      <c r="F239" t="s">
        <v>22</v>
      </c>
      <c r="G239">
        <v>98203</v>
      </c>
      <c r="H239" s="1">
        <v>46055.136562500003</v>
      </c>
      <c r="I239" t="s">
        <v>29</v>
      </c>
      <c r="J239" t="s">
        <v>30</v>
      </c>
      <c r="K239" t="s">
        <v>874</v>
      </c>
      <c r="L239">
        <v>3</v>
      </c>
      <c r="M239">
        <v>2</v>
      </c>
      <c r="N239">
        <v>1490</v>
      </c>
      <c r="O239">
        <v>1957</v>
      </c>
      <c r="P239" t="s">
        <v>25</v>
      </c>
      <c r="Q239">
        <v>1017919831</v>
      </c>
      <c r="R239">
        <v>521491</v>
      </c>
    </row>
    <row r="240" spans="1:18" x14ac:dyDescent="0.2">
      <c r="A240" t="s">
        <v>875</v>
      </c>
      <c r="B240" t="str">
        <f>HYPERLINK("tel:2063511384", "2063511384")</f>
        <v>2063511384</v>
      </c>
      <c r="C240" t="s">
        <v>25</v>
      </c>
      <c r="D240" t="s">
        <v>876</v>
      </c>
      <c r="E240" t="s">
        <v>143</v>
      </c>
      <c r="F240" t="s">
        <v>22</v>
      </c>
      <c r="G240">
        <v>98375</v>
      </c>
      <c r="H240" s="1">
        <v>46055.136562500003</v>
      </c>
      <c r="I240" t="s">
        <v>29</v>
      </c>
      <c r="J240" t="s">
        <v>30</v>
      </c>
      <c r="K240" t="s">
        <v>877</v>
      </c>
      <c r="L240">
        <v>2</v>
      </c>
      <c r="M240">
        <v>2</v>
      </c>
      <c r="N240">
        <v>1100</v>
      </c>
      <c r="O240" t="s">
        <v>25</v>
      </c>
      <c r="P240" t="s">
        <v>25</v>
      </c>
      <c r="Q240">
        <v>1017919848</v>
      </c>
      <c r="R240">
        <v>521489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wa_leads_full_pool_old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Bharath S. Narayan</dc:creator>
  <cp:lastModifiedBy>Bharath S. Narayan</cp:lastModifiedBy>
  <dcterms:created xsi:type="dcterms:W3CDTF">2026-02-09T05:10:58Z</dcterms:created>
  <dcterms:modified xsi:type="dcterms:W3CDTF">2026-02-09T05:10:58Z</dcterms:modified>
</cp:coreProperties>
</file>